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bf810635e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c4827c4f759417d"/>
    <x:sheet xmlns:r="http://schemas.openxmlformats.org/officeDocument/2006/relationships" name="参与者" sheetId="2" r:id="R80d06c597c84462c"/>
    <x:sheet xmlns:r="http://schemas.openxmlformats.org/officeDocument/2006/relationships" name="场景记录" sheetId="3" r:id="R731d2080d23243d9"/>
    <x:sheet xmlns:r="http://schemas.openxmlformats.org/officeDocument/2006/relationships" name="区分测试" sheetId="4" r:id="Re1f09d153e1e4bf2"/>
    <x:sheet xmlns:r="http://schemas.openxmlformats.org/officeDocument/2006/relationships" name="SUS问卷" sheetId="5" r:id="Rc0d4e56e8c9d48da"/>
    <x:sheet xmlns:r="http://schemas.openxmlformats.org/officeDocument/2006/relationships" name="签署" sheetId="6" r:id="Rd40f043aaeb4457b"/>
    <x:sheet xmlns:r="http://schemas.openxmlformats.org/officeDocument/2006/relationships" name="评分摘要" sheetId="7" r:id="R206e631dd00c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hh:mm"/>
    <x:numFmt numFmtId="203" formatCode="0.0"/>
    <x:numFmt numFmtId="204" formatCode="0%"/>
  </x:numFmts>
  <x:fonts count="6">
    <x:font>
      <x:sz val="11"/>
      <x:name val="Carlito"/>
    </x:font>
    <x:font>
      <x:sz val="20"/>
      <x:color rgb="FFFFFFFF"/>
      <x:name val="Carlito"/>
    </x:font>
    <x:font>
      <x:sz val="10"/>
      <x:color rgb="FF333333"/>
      <x:name val="Carlito"/>
    </x:font>
    <x:font>
      <x:b/>
      <x:sz val="11"/>
      <x:color rgb="FF17365D"/>
      <x:name val="Carlito"/>
    </x:font>
    <x:font>
      <x:b/>
      <x:sz val="14"/>
      <x:color rgb="FFC00000"/>
      <x:name val="Carlito"/>
    </x:font>
    <x:font>
      <x:sz val="11"/>
      <x:color rgb="FF5555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557F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31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B4C6D7"/>
      </x:left>
      <x:right style="thin">
        <x:color rgb="FFD9E2F3"/>
      </x:right>
      <x:top style="thin">
        <x:color rgb="FFB4C6D7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B4C6D7"/>
      </x:top>
      <x:bottom style="thin">
        <x:color rgb="FFD9E2F3"/>
      </x:bottom>
    </x:border>
    <x:border>
      <x:left style="thin">
        <x:color rgb="FFD9E2F3"/>
      </x:left>
      <x:right style="thin">
        <x:color rgb="FFB4C6D7"/>
      </x:right>
      <x:top style="thin">
        <x:color rgb="FFB4C6D7"/>
      </x:top>
      <x:bottom style="thin">
        <x:color rgb="FFD9E2F3"/>
      </x:bottom>
    </x:border>
    <x:border>
      <x:left style="thin">
        <x:color rgb="FFB4C6D7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4C6D7"/>
      </x:right>
      <x:top style="thin">
        <x:color rgb="FFD9E2F3"/>
      </x:top>
      <x:bottom style="thin">
        <x:color rgb="FFD9E2F3"/>
      </x:bottom>
    </x:border>
    <x:border>
      <x:left style="thin">
        <x:color rgb="FFB4C6D7"/>
      </x:left>
      <x:right style="thin">
        <x:color rgb="FFD9E2F3"/>
      </x:right>
      <x:top style="thin">
        <x:color rgb="FFD9E2F3"/>
      </x:top>
      <x:bottom style="thin">
        <x:color rgb="FFB4C6D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4C6D7"/>
      </x:bottom>
    </x:border>
    <x:border>
      <x:left style="thin">
        <x:color rgb="FFD9E2F3"/>
      </x:left>
      <x:right style="thin">
        <x:color rgb="FFB4C6D7"/>
      </x:right>
      <x:top style="thin">
        <x:color rgb="FFD9E2F3"/>
      </x:top>
      <x:bottom style="thin">
        <x:color rgb="FFB4C6D7"/>
      </x:bottom>
    </x:border>
    <x:border>
      <x:left style="thin">
        <x:color rgb="FFD6B656"/>
      </x:left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top style="thin">
        <x:color rgb="FFD6B656"/>
      </x:top>
    </x:border>
    <x:border>
      <x:bottom style="thin">
        <x:color rgb="FFD6B656"/>
      </x:bottom>
    </x:border>
    <x:border>
      <x:left style="thin">
        <x:color rgb="FFB4C6D7"/>
      </x:left>
      <x:right style="thin">
        <x:color rgb="FFE6E6E6"/>
      </x:right>
      <x:top style="thin">
        <x:color rgb="FFB4C6D7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B4C6D7"/>
      </x:top>
      <x:bottom style="thin">
        <x:color rgb="FFE6E6E6"/>
      </x:bottom>
    </x:border>
    <x:border>
      <x:left style="thin">
        <x:color rgb="FFE6E6E6"/>
      </x:left>
      <x:right style="thin">
        <x:color rgb="FFB4C6D7"/>
      </x:right>
      <x:top style="thin">
        <x:color rgb="FFB4C6D7"/>
      </x:top>
      <x:bottom style="thin">
        <x:color rgb="FFE6E6E6"/>
      </x:bottom>
    </x:border>
    <x:border>
      <x:left style="thin">
        <x:color rgb="FFB4C6D7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B4C6D7"/>
      </x:right>
      <x:top style="thin">
        <x:color rgb="FFE6E6E6"/>
      </x:top>
      <x:bottom style="thin">
        <x:color rgb="FFE6E6E6"/>
      </x:bottom>
    </x:border>
    <x:border>
      <x:left style="thin">
        <x:color rgb="FFB4C6D7"/>
      </x:left>
      <x:right style="thin">
        <x:color rgb="FFE6E6E6"/>
      </x:right>
      <x:top style="thin">
        <x:color rgb="FFE6E6E6"/>
      </x:top>
      <x:bottom style="thin">
        <x:color rgb="FFB4C6D7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B4C6D7"/>
      </x:bottom>
    </x:border>
    <x:border>
      <x:left style="thin">
        <x:color rgb="FFE6E6E6"/>
      </x:left>
      <x:right style="thin">
        <x:color rgb="FFB4C6D7"/>
      </x:right>
      <x:top style="thin">
        <x:color rgb="FFE6E6E6"/>
      </x:top>
      <x:bottom style="thin">
        <x:color rgb="FFB4C6D7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5" borderId="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vertical="center" wrapText="1"/>
    </x:xf>
    <x:xf numFmtId="200" fontId="0" fillId="5" borderId="11" xfId="0" applyNumberFormat="1" applyFont="1" applyFill="1" applyBorder="1" applyAlignment="1">
      <x:alignment vertical="center" wrapText="1"/>
    </x:xf>
    <x:xf numFmtId="200" fontId="0" fillId="5" borderId="13" xfId="0" applyNumberFormat="1" applyFont="1" applyFill="1" applyBorder="1" applyAlignment="1">
      <x:alignment vertical="center" wrapText="1"/>
    </x:xf>
    <x:xf numFmtId="200" fontId="0" fillId="5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5" borderId="6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/>
    <x:xf numFmtId="201" fontId="0" fillId="0" borderId="7" xfId="0" applyNumberFormat="1" applyFont="1" applyFill="1" applyBorder="1"/>
    <x:xf numFmtId="200" fontId="0" fillId="5" borderId="9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2" fontId="0" fillId="5" borderId="11" xfId="0" applyNumberFormat="1" applyFont="1" applyFill="1" applyBorder="1" applyAlignment="1">
      <x:alignment vertical="center" wrapText="1"/>
    </x:xf>
    <x:xf numFmtId="202" fontId="0" fillId="5" borderId="12" xfId="0" applyNumberFormat="1" applyFont="1" applyFill="1" applyBorder="1" applyAlignment="1">
      <x:alignment vertical="center" wrapText="1"/>
    </x:xf>
    <x:xf numFmtId="202" fontId="0" fillId="5" borderId="13" xfId="0" applyNumberFormat="1" applyFont="1" applyFill="1" applyBorder="1" applyAlignment="1">
      <x:alignment vertical="center" wrapText="1"/>
    </x:xf>
    <x:xf numFmtId="202" fontId="0" fillId="5" borderId="14" xfId="0" applyNumberFormat="1" applyFont="1" applyFill="1" applyBorder="1" applyAlignment="1">
      <x:alignment vertical="center" wrapText="1"/>
    </x:xf>
    <x:xf numFmtId="202" fontId="0" fillId="5" borderId="15" xfId="0" applyNumberFormat="1" applyFont="1" applyFill="1" applyBorder="1" applyAlignment="1">
      <x:alignment vertical="center" wrapText="1"/>
    </x:xf>
    <x:xf numFmtId="202" fontId="0" fillId="5" borderId="16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3" fillId="4" borderId="19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3" fillId="4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2" fontId="0" fillId="5" borderId="23" xfId="0" applyNumberFormat="1" applyFont="1" applyFill="1" applyBorder="1" applyAlignment="1">
      <x:alignment vertical="center" wrapText="1"/>
    </x:xf>
    <x:xf numFmtId="203" fontId="0" fillId="0" borderId="23" xfId="0" applyNumberFormat="1" applyFont="1" applyFill="1" applyBorder="1"/>
    <x:xf numFmtId="0" fontId="0" fillId="5" borderId="23" xfId="0" applyNumberFormat="1" applyFont="1" applyFill="1" applyBorder="1" applyAlignment="1">
      <x:alignment vertical="center" wrapText="1"/>
    </x:xf>
    <x:xf numFmtId="0" fontId="0" fillId="5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2" fontId="0" fillId="5" borderId="26" xfId="0" applyNumberFormat="1" applyFont="1" applyFill="1" applyBorder="1" applyAlignment="1">
      <x:alignment vertical="center" wrapText="1"/>
    </x:xf>
    <x:xf numFmtId="203" fontId="0" fillId="0" borderId="26" xfId="0" applyNumberFormat="1" applyFont="1" applyFill="1" applyBorder="1"/>
    <x:xf numFmtId="0" fontId="0" fillId="5" borderId="26" xfId="0" applyNumberFormat="1" applyFont="1" applyFill="1" applyBorder="1" applyAlignment="1">
      <x:alignment vertical="center" wrapText="1"/>
    </x:xf>
    <x:xf numFmtId="0" fontId="0" fillId="5" borderId="27" xfId="0" applyNumberFormat="1" applyFont="1" applyFill="1" applyBorder="1" applyAlignment="1">
      <x:alignment vertical="center" wrapText="1"/>
    </x:xf>
    <x:xf numFmtId="0" fontId="0" fillId="5" borderId="28" xfId="0" applyNumberFormat="1" applyFont="1" applyFill="1" applyBorder="1"/>
    <x:xf numFmtId="0" fontId="0" fillId="5" borderId="29" xfId="0" applyNumberFormat="1" applyFont="1" applyFill="1" applyBorder="1"/>
    <x:xf numFmtId="0" fontId="0" fillId="5" borderId="30" xfId="0" applyNumberFormat="1" applyFont="1" applyFill="1" applyBorder="1"/>
    <x:xf numFmtId="0" fontId="0" fillId="5" borderId="28" xfId="0" applyNumberFormat="1" applyFont="1" applyFill="1" applyBorder="1" applyAlignment="1">
      <x:alignment wrapText="1"/>
    </x:xf>
    <x:xf numFmtId="0" fontId="0" fillId="5" borderId="29" xfId="0" applyNumberFormat="1" applyFont="1" applyFill="1" applyBorder="1" applyAlignment="1">
      <x:alignment wrapText="1"/>
    </x:xf>
    <x:xf numFmtId="0" fontId="0" fillId="5" borderId="30" xfId="0" applyNumberFormat="1" applyFont="1" applyFill="1" applyBorder="1" applyAlignment="1">
      <x:alignment wrapText="1"/>
    </x:xf>
    <x:xf numFmtId="0" fontId="0" fillId="5" borderId="28" xfId="0" applyNumberFormat="1" applyFont="1" applyFill="1" applyBorder="1" applyAlignment="1">
      <x:alignment vertical="center" wrapText="1"/>
    </x:xf>
    <x:xf numFmtId="0" fontId="0" fillId="5" borderId="29" xfId="0" applyNumberFormat="1" applyFont="1" applyFill="1" applyBorder="1" applyAlignment="1">
      <x:alignment vertical="center" wrapText="1"/>
    </x:xf>
    <x:xf numFmtId="0" fontId="0" fillId="5" borderId="30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/>
    <x:xf numFmtId="0" fontId="0" fillId="0" borderId="27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200" fontId="0" fillId="5" borderId="17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5" borderId="18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6" xfId="0" applyNumberFormat="1" applyFont="1" applyFill="1" applyBorder="1"/>
    <x:xf numFmtId="204" fontId="0" fillId="0" borderId="9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1dc8db2784ca0" /><Relationship Type="http://schemas.openxmlformats.org/officeDocument/2006/relationships/theme" Target="/xl/theme/theme1.xml" Id="Raa77518d1f3e4b85" /><Relationship Type="http://schemas.openxmlformats.org/officeDocument/2006/relationships/sharedStrings" Target="/xl/sharedStrings.xml" Id="Rf416517aceaa4bb3" /><Relationship Type="http://schemas.openxmlformats.org/officeDocument/2006/relationships/worksheet" Target="/xl/worksheets/sheet1.xml" Id="R2c4827c4f759417d" /><Relationship Type="http://schemas.openxmlformats.org/officeDocument/2006/relationships/worksheet" Target="/xl/worksheets/sheet2.xml" Id="R80d06c597c84462c" /><Relationship Type="http://schemas.openxmlformats.org/officeDocument/2006/relationships/worksheet" Target="/xl/worksheets/sheet3.xml" Id="R731d2080d23243d9" /><Relationship Type="http://schemas.openxmlformats.org/officeDocument/2006/relationships/worksheet" Target="/xl/worksheets/sheet4.xml" Id="Re1f09d153e1e4bf2" /><Relationship Type="http://schemas.openxmlformats.org/officeDocument/2006/relationships/worksheet" Target="/xl/worksheets/sheet5.xml" Id="Rc0d4e56e8c9d48da" /><Relationship Type="http://schemas.openxmlformats.org/officeDocument/2006/relationships/worksheet" Target="/xl/worksheets/sheet6.xml" Id="Rd40f043aaeb4457b" /><Relationship Type="http://schemas.openxmlformats.org/officeDocument/2006/relationships/worksheet" Target="/xl/worksheets/sheet7.xml" Id="R206e631dd00c4e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8" hidden="0" customWidth="1"/>
    <x:col min="3" max="3" width="30" hidden="0" customWidth="1"/>
  </x:cols>
  <x:sheetData>
    <x:row r="1" ht="31" customHeight="1">
      <x:c r="A1" s="4" t="str">
        <x:v>DCC 1.2.0 工作人员可用性验收包</x:v>
      </x:c>
    </x:row>
    <x:row r="2" ht="31" customHeight="1"/>
    <x:row r="4">
      <x:c r="A4" s="8" t="str">
        <x:v>用途：收集至少 1 名不了解统计和编程的真实调查工作人员完成严格 Excel、validation、preview、execute 和报告解释的证据。只填写黄色单元格。自动生成、主持人代签或缺少参与者确认均不能作为通过证据。本研究用于改进易用性，不阻断 DCC 包发布。</x:v>
      </x:c>
    </x:row>
    <x:row r="8">
      <x:c r="A8" s="14" t="str">
        <x:v>步骤</x:v>
      </x:c>
      <x:c r="B8" s="15" t="str">
        <x:v>主持人操作</x:v>
      </x:c>
      <x:c r="C8" s="16" t="str">
        <x:v>硬性要求</x:v>
      </x:c>
    </x:row>
    <x:row r="9">
      <x:c r="A9" s="17" t="n">
        <x:v>1</x:v>
      </x:c>
      <x:c r="B9" s="18" t="str">
        <x:v>为每位参与者分配匿名编号 P001–P005。</x:v>
      </x:c>
      <x:c r="C9" s="19" t="str">
        <x:v>不得记录敏感身份信息</x:v>
      </x:c>
    </x:row>
    <x:row r="10">
      <x:c r="A10" s="17" t="n">
        <x:v>2</x:v>
      </x:c>
      <x:c r="B10" s="18" t="str">
        <x:v>只提供严格 DCC 项目模板和简短 R 命令。</x:v>
      </x:c>
      <x:c r="C10" s="19" t="str">
        <x:v>不得让参与者编辑 R 代码</x:v>
      </x:c>
    </x:row>
    <x:row r="11">
      <x:c r="A11" s="17" t="n">
        <x:v>3</x:v>
      </x:c>
      <x:c r="B11" s="18" t="str">
        <x:v>记录 7 个场景的开始、结束、帮助与错误。</x:v>
      </x:c>
      <x:c r="C11" s="19" t="str">
        <x:v>先 validation，再 preview</x:v>
      </x:c>
    </x:row>
    <x:row r="12">
      <x:c r="A12" s="17" t="n">
        <x:v>4</x:v>
      </x:c>
      <x:c r="B12" s="18" t="str">
        <x:v>完成 4 道 Preview/Execute 区分题。</x:v>
      </x:c>
      <x:c r="C12" s="19" t="str">
        <x:v>不得提示答案</x:v>
      </x:c>
    </x:row>
    <x:row r="13">
      <x:c r="A13" s="17" t="n">
        <x:v>5</x:v>
      </x:c>
      <x:c r="B13" s="18" t="str">
        <x:v>完成全部 10 项 SUS。</x:v>
      </x:c>
      <x:c r="C13" s="19" t="str">
        <x:v>每项必须为 1–5</x:v>
      </x:c>
    </x:row>
    <x:row r="14">
      <x:c r="A14" s="17" t="n">
        <x:v>6</x:v>
      </x:c>
      <x:c r="B14" s="18" t="str">
        <x:v>参与者和主持人分别签署确认。</x:v>
      </x:c>
      <x:c r="C14" s="19" t="str">
        <x:v>签署不得代填</x:v>
      </x:c>
    </x:row>
    <x:row r="15">
      <x:c r="A15" s="17" t="n">
        <x:v>7</x:v>
      </x:c>
      <x:c r="B15" s="18" t="str">
        <x:v>核对测试前后原始文件 SHA-256。</x:v>
      </x:c>
      <x:c r="C15" s="19" t="str">
        <x:v>哈希必须一致</x:v>
      </x:c>
    </x:row>
    <x:row r="16">
      <x:c r="A16" s="17" t="n">
        <x:v>8</x:v>
      </x:c>
      <x:c r="B16" s="18" t="str">
        <x:v>由发布负责人审核评分摘要和原始记录。</x:v>
      </x:c>
      <x:c r="C16" s="19" t="str">
        <x:v>至少 1 份有效记录</x:v>
      </x:c>
    </x:row>
    <x:row r="17">
      <x:c r="A17" s="17"/>
      <x:c r="B17" s="18"/>
      <x:c r="C17" s="19"/>
    </x:row>
    <x:row r="18">
      <x:c r="A18" s="20" t="str">
        <x:v>研究门槛</x:v>
      </x:c>
      <x:c r="B18" s="21" t="str">
        <x:v>要求</x:v>
      </x:c>
      <x:c r="C18" s="22" t="str">
        <x:v>证据位置</x:v>
      </x:c>
    </x:row>
    <x:row r="19">
      <x:c r="A19" s="17" t="str">
        <x:v>有效参与者</x:v>
      </x:c>
      <x:c r="B19" s="18" t="str">
        <x:v>至少 1</x:v>
      </x:c>
      <x:c r="C19" s="19" t="str">
        <x:v>评分摘要</x:v>
      </x:c>
    </x:row>
    <x:row r="20">
      <x:c r="A20" s="17" t="str">
        <x:v>总体完成率</x:v>
      </x:c>
      <x:c r="B20" s="18" t="str">
        <x:v>至少 80%</x:v>
      </x:c>
      <x:c r="C20" s="19" t="str">
        <x:v>评分摘要</x:v>
      </x:c>
    </x:row>
    <x:row r="21">
      <x:c r="A21" s="17" t="str">
        <x:v>区分正确率</x:v>
      </x:c>
      <x:c r="B21" s="18" t="str">
        <x:v>至少 80%</x:v>
      </x:c>
      <x:c r="C21" s="19" t="str">
        <x:v>评分摘要</x:v>
      </x:c>
    </x:row>
    <x:row r="22">
      <x:c r="A22" s="17" t="str">
        <x:v>SUS 中位数</x:v>
      </x:c>
      <x:c r="B22" s="18" t="str">
        <x:v>至少 75</x:v>
      </x:c>
      <x:c r="C22" s="19" t="str">
        <x:v>评分摘要</x:v>
      </x:c>
    </x:row>
    <x:row r="23">
      <x:c r="A23" s="23" t="str">
        <x:v>代码编辑 / 原始覆盖</x:v>
      </x:c>
      <x:c r="B23" s="24" t="str">
        <x:v>均为 0</x:v>
      </x:c>
      <x:c r="C23" s="25" t="str">
        <x:v>场景记录</x:v>
      </x:c>
    </x:row>
  </x:sheetData>
  <x:mergeCells>
    <x:mergeCell ref="A1:H2"/>
    <x:mergeCell ref="A4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2" hidden="0" customWidth="1"/>
    <x:col min="5" max="5" width="24" hidden="0" customWidth="1"/>
    <x:col min="6" max="6" width="45" hidden="0" customWidth="1"/>
    <x:col min="7" max="7" width="45" hidden="0" customWidth="1"/>
    <x:col min="8" max="8" width="30" hidden="0" customWidth="1"/>
    <x:col min="9" max="9" width="12" hidden="0" customWidth="1"/>
    <x:col min="10" max="10" width="12" hidden="0" customWidth="1"/>
  </x:cols>
  <x:sheetData>
    <x:row r="1" ht="31" customHeight="1">
      <x:c r="A1" s="4" t="str">
        <x:v>参与者与数据完整性 / Participants</x:v>
      </x:c>
    </x:row>
    <x:row r="2" ht="31" customHeight="1"/>
    <x:row r="3">
      <x:c r="A3" s="8" t="str">
        <x:v>黄色单元格由主持人现场填写。DCC 版本固定为 1.2.0；原始文件测试前后 SHA-256 必须完全一致。</x:v>
      </x:c>
    </x:row>
    <x:row r="5">
      <x:c r="A5" s="14" t="str">
        <x:v>参与者编号</x:v>
      </x:c>
      <x:c r="B5" s="15" t="str">
        <x:v>测试日期</x:v>
      </x:c>
      <x:c r="C5" s="15" t="str">
        <x:v>主持人</x:v>
      </x:c>
      <x:c r="D5" s="15" t="str">
        <x:v>DCC版本</x:v>
      </x:c>
      <x:c r="E5" s="15" t="str">
        <x:v>合成数据文件</x:v>
      </x:c>
      <x:c r="F5" s="15" t="str">
        <x:v>测试前 SHA-256</x:v>
      </x:c>
      <x:c r="G5" s="15" t="str">
        <x:v>测试后 SHA-256</x:v>
      </x:c>
      <x:c r="H5" s="15" t="str">
        <x:v>输出目录</x:v>
      </x:c>
      <x:c r="I5" s="15" t="str">
        <x:v>哈希一致</x:v>
      </x:c>
      <x:c r="J5" s="16" t="str">
        <x:v>记录有效</x:v>
      </x:c>
    </x:row>
    <x:row r="6">
      <x:c r="A6" s="17" t="str">
        <x:v>P001</x:v>
      </x:c>
      <x:c r="B6" s="57"/>
      <x:c r="C6" s="58"/>
      <x:c r="D6" s="18" t="str">
        <x:v>1.2.0</x:v>
      </x:c>
      <x:c r="E6" s="58"/>
      <x:c r="F6" s="58"/>
      <x:c r="G6" s="58"/>
      <x:c r="H6" s="58"/>
      <x:c r="I6" s="59" t="n">
        <x:f>IF(AND(F6&lt;&gt;"",F6=G6),1,0)</x:f>
        <x:v>0</x:v>
      </x:c>
      <x:c r="J6" s="60" t="n">
        <x:f>IF(AND(B6&lt;&gt;"",C6&lt;&gt;"",E6&lt;&gt;"",H6&lt;&gt;"",I6=1),1,0)</x:f>
        <x:v>0</x:v>
      </x:c>
    </x:row>
    <x:row r="7">
      <x:c r="A7" s="17" t="str">
        <x:v>P002</x:v>
      </x:c>
      <x:c r="B7" s="57"/>
      <x:c r="C7" s="58"/>
      <x:c r="D7" s="18" t="str">
        <x:v>1.2.0</x:v>
      </x:c>
      <x:c r="E7" s="58"/>
      <x:c r="F7" s="58"/>
      <x:c r="G7" s="58"/>
      <x:c r="H7" s="58"/>
      <x:c r="I7" s="59" t="n">
        <x:f>IF(AND(F7&lt;&gt;"",F7=G7),1,0)</x:f>
        <x:v>0</x:v>
      </x:c>
      <x:c r="J7" s="60" t="n">
        <x:f>IF(AND(B7&lt;&gt;"",C7&lt;&gt;"",E7&lt;&gt;"",H7&lt;&gt;"",I7=1),1,0)</x:f>
        <x:v>0</x:v>
      </x:c>
    </x:row>
    <x:row r="8">
      <x:c r="A8" s="17" t="str">
        <x:v>P003</x:v>
      </x:c>
      <x:c r="B8" s="57"/>
      <x:c r="C8" s="58"/>
      <x:c r="D8" s="18" t="str">
        <x:v>1.2.0</x:v>
      </x:c>
      <x:c r="E8" s="58"/>
      <x:c r="F8" s="58"/>
      <x:c r="G8" s="58"/>
      <x:c r="H8" s="58"/>
      <x:c r="I8" s="59" t="n">
        <x:f>IF(AND(F8&lt;&gt;"",F8=G8),1,0)</x:f>
        <x:v>0</x:v>
      </x:c>
      <x:c r="J8" s="60" t="n">
        <x:f>IF(AND(B8&lt;&gt;"",C8&lt;&gt;"",E8&lt;&gt;"",H8&lt;&gt;"",I8=1),1,0)</x:f>
        <x:v>0</x:v>
      </x:c>
    </x:row>
    <x:row r="9">
      <x:c r="A9" s="17" t="str">
        <x:v>P004</x:v>
      </x:c>
      <x:c r="B9" s="57"/>
      <x:c r="C9" s="58"/>
      <x:c r="D9" s="18" t="str">
        <x:v>1.2.0</x:v>
      </x:c>
      <x:c r="E9" s="58"/>
      <x:c r="F9" s="58"/>
      <x:c r="G9" s="58"/>
      <x:c r="H9" s="58"/>
      <x:c r="I9" s="59" t="n">
        <x:f>IF(AND(F9&lt;&gt;"",F9=G9),1,0)</x:f>
        <x:v>0</x:v>
      </x:c>
      <x:c r="J9" s="60" t="n">
        <x:f>IF(AND(B9&lt;&gt;"",C9&lt;&gt;"",E9&lt;&gt;"",H9&lt;&gt;"",I9=1),1,0)</x:f>
        <x:v>0</x:v>
      </x:c>
    </x:row>
    <x:row r="10">
      <x:c r="A10" s="23" t="str">
        <x:v>P005</x:v>
      </x:c>
      <x:c r="B10" s="61"/>
      <x:c r="C10" s="62"/>
      <x:c r="D10" s="24" t="str">
        <x:v>1.2.0</x:v>
      </x:c>
      <x:c r="E10" s="62"/>
      <x:c r="F10" s="62"/>
      <x:c r="G10" s="62"/>
      <x:c r="H10" s="62"/>
      <x:c r="I10" s="63" t="n">
        <x:f>IF(AND(F10&lt;&gt;"",F10=G10),1,0)</x:f>
        <x:v>0</x:v>
      </x:c>
      <x:c r="J10" s="64" t="n">
        <x:f>IF(AND(B10&lt;&gt;"",C10&lt;&gt;"",E10&lt;&gt;"",H10&lt;&gt;"",I10=1),1,0)</x:f>
        <x:v>0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38" hidden="0" customWidth="1"/>
    <x:col min="4" max="4" width="12" hidden="0" customWidth="1"/>
    <x:col min="5" max="5" width="12" hidden="0" customWidth="1"/>
    <x:col min="6" max="6" width="14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30" hidden="0" customWidth="1"/>
  </x:cols>
  <x:sheetData>
    <x:row r="1" ht="31" customHeight="1">
      <x:c r="A1" s="4" t="str">
        <x:v>场景记录 / Scenario log</x:v>
      </x:c>
    </x:row>
    <x:row r="2" ht="31" customHeight="1"/>
    <x:row r="3">
      <x:c r="A3" s="8" t="str">
        <x:v>时间填写为 Excel 时间值；状态、帮助次数、代码编辑和原始文件覆盖由主持人现场记录。任何代码编辑或原始文件覆盖都会使工作人员研究不通过，但不会阻断 DCC 包发布。</x:v>
      </x:c>
    </x:row>
    <x:row r="5">
      <x:c r="A5" s="72" t="str">
        <x:v>参与者</x:v>
      </x:c>
      <x:c r="B5" s="73" t="str">
        <x:v>场景 ID</x:v>
      </x:c>
      <x:c r="C5" s="73" t="str">
        <x:v>任务</x:v>
      </x:c>
      <x:c r="D5" s="73" t="str">
        <x:v>开始</x:v>
      </x:c>
      <x:c r="E5" s="73" t="str">
        <x:v>结束</x:v>
      </x:c>
      <x:c r="F5" s="73" t="str">
        <x:v>用时（分钟）</x:v>
      </x:c>
      <x:c r="G5" s="73" t="str">
        <x:v>状态</x:v>
      </x:c>
      <x:c r="H5" s="73" t="str">
        <x:v>帮助次数</x:v>
      </x:c>
      <x:c r="I5" s="73" t="str">
        <x:v>代码编辑</x:v>
      </x:c>
      <x:c r="J5" s="73" t="str">
        <x:v>原始文件覆盖</x:v>
      </x:c>
      <x:c r="K5" s="74" t="str">
        <x:v>备注</x:v>
      </x:c>
    </x:row>
    <x:row r="6">
      <x:c r="A6" s="75" t="str">
        <x:v>P001</x:v>
      </x:c>
      <x:c r="B6" s="76" t="str">
        <x:v>obtain-template</x:v>
      </x:c>
      <x:c r="C6" s="76" t="str">
        <x:v>取得并打开严格模板</x:v>
      </x:c>
      <x:c r="D6" s="77"/>
      <x:c r="E6" s="77"/>
      <x:c r="F6" s="78" t="str">
        <x:f>IF(OR(D6="",E6=""),"",MAX(0,(E6-D6)*1440))</x:f>
      </x:c>
      <x:c r="G6" s="79" t="str">
        <x:v>未开始</x:v>
      </x:c>
      <x:c r="H6" s="79" t="n">
        <x:v>0</x:v>
      </x:c>
      <x:c r="I6" s="79" t="n">
        <x:v>0</x:v>
      </x:c>
      <x:c r="J6" s="79" t="n">
        <x:v>0</x:v>
      </x:c>
      <x:c r="K6" s="80"/>
    </x:row>
    <x:row r="7">
      <x:c r="A7" s="75" t="str">
        <x:v>P001</x:v>
      </x:c>
      <x:c r="B7" s="76" t="str">
        <x:v>complete-workbook</x:v>
      </x:c>
      <x:c r="C7" s="76" t="str">
        <x:v>只填允许单元格并完成项目设置</x:v>
      </x:c>
      <x:c r="D7" s="77"/>
      <x:c r="E7" s="77"/>
      <x:c r="F7" s="78" t="str">
        <x:f>IF(OR(D7="",E7=""),"",MAX(0,(E7-D7)*1440))</x:f>
      </x:c>
      <x:c r="G7" s="79" t="str">
        <x:v>未开始</x:v>
      </x:c>
      <x:c r="H7" s="79" t="n">
        <x:v>0</x:v>
      </x:c>
      <x:c r="I7" s="79" t="n">
        <x:v>0</x:v>
      </x:c>
      <x:c r="J7" s="79" t="n">
        <x:v>0</x:v>
      </x:c>
      <x:c r="K7" s="80"/>
    </x:row>
    <x:row r="8">
      <x:c r="A8" s="75" t="str">
        <x:v>P001</x:v>
      </x:c>
      <x:c r="B8" s="76" t="str">
        <x:v>correct-invalid-cell</x:v>
      </x:c>
      <x:c r="C8" s="76" t="str">
        <x:v>按稳定代码和单元格地址纠错</x:v>
      </x:c>
      <x:c r="D8" s="77"/>
      <x:c r="E8" s="77"/>
      <x:c r="F8" s="78" t="str">
        <x:f>IF(OR(D8="",E8=""),"",MAX(0,(E8-D8)*1440))</x:f>
      </x:c>
      <x:c r="G8" s="79" t="str">
        <x:v>未开始</x:v>
      </x:c>
      <x:c r="H8" s="79" t="n">
        <x:v>0</x:v>
      </x:c>
      <x:c r="I8" s="79" t="n">
        <x:v>0</x:v>
      </x:c>
      <x:c r="J8" s="79" t="n">
        <x:v>0</x:v>
      </x:c>
      <x:c r="K8" s="80"/>
    </x:row>
    <x:row r="9">
      <x:c r="A9" s="75" t="str">
        <x:v>P001</x:v>
      </x:c>
      <x:c r="B9" s="76" t="str">
        <x:v>run-check</x:v>
      </x:c>
      <x:c r="C9" s="76" t="str">
        <x:v>运行 dcc_check 并找到检查产物</x:v>
      </x:c>
      <x:c r="D9" s="77"/>
      <x:c r="E9" s="77"/>
      <x:c r="F9" s="78" t="str">
        <x:f>IF(OR(D9="",E9=""),"",MAX(0,(E9-D9)*1440))</x:f>
      </x:c>
      <x:c r="G9" s="79" t="str">
        <x:v>未开始</x:v>
      </x:c>
      <x:c r="H9" s="79" t="n">
        <x:v>0</x:v>
      </x:c>
      <x:c r="I9" s="79" t="n">
        <x:v>0</x:v>
      </x:c>
      <x:c r="J9" s="79" t="n">
        <x:v>0</x:v>
      </x:c>
      <x:c r="K9" s="80"/>
    </x:row>
    <x:row r="10">
      <x:c r="A10" s="75" t="str">
        <x:v>P001</x:v>
      </x:c>
      <x:c r="B10" s="76" t="str">
        <x:v>run-preview</x:v>
      </x:c>
      <x:c r="C10" s="76" t="str">
        <x:v>运行 preview 并解释不改变数据</x:v>
      </x:c>
      <x:c r="D10" s="77"/>
      <x:c r="E10" s="77"/>
      <x:c r="F10" s="78" t="str">
        <x:f>IF(OR(D10="",E10=""),"",MAX(0,(E10-D10)*1440))</x:f>
      </x:c>
      <x:c r="G10" s="79" t="str">
        <x:v>未开始</x:v>
      </x:c>
      <x:c r="H10" s="79" t="n">
        <x:v>0</x:v>
      </x:c>
      <x:c r="I10" s="79" t="n">
        <x:v>0</x:v>
      </x:c>
      <x:c r="J10" s="79" t="n">
        <x:v>0</x:v>
      </x:c>
      <x:c r="K10" s="80"/>
    </x:row>
    <x:row r="11">
      <x:c r="A11" s="75" t="str">
        <x:v>P001</x:v>
      </x:c>
      <x:c r="B11" s="76" t="str">
        <x:v>authorize-execution</x:v>
      </x:c>
      <x:c r="C11" s="76" t="str">
        <x:v>检查 preview 后授权 execute</x:v>
      </x:c>
      <x:c r="D11" s="77"/>
      <x:c r="E11" s="77"/>
      <x:c r="F11" s="78" t="str">
        <x:f>IF(OR(D11="",E11=""),"",MAX(0,(E11-D11)*1440))</x:f>
      </x:c>
      <x:c r="G11" s="79" t="str">
        <x:v>未开始</x:v>
      </x:c>
      <x:c r="H11" s="79" t="n">
        <x:v>0</x:v>
      </x:c>
      <x:c r="I11" s="79" t="n">
        <x:v>0</x:v>
      </x:c>
      <x:c r="J11" s="79" t="n">
        <x:v>0</x:v>
      </x:c>
      <x:c r="K11" s="80"/>
    </x:row>
    <x:row r="12">
      <x:c r="A12" s="75" t="str">
        <x:v>P001</x:v>
      </x:c>
      <x:c r="B12" s="76" t="str">
        <x:v>interpret-and-export</x:v>
      </x:c>
      <x:c r="C12" s="76" t="str">
        <x:v>解释工作人员报告并导出</x:v>
      </x:c>
      <x:c r="D12" s="77"/>
      <x:c r="E12" s="77"/>
      <x:c r="F12" s="78" t="str">
        <x:f>IF(OR(D12="",E12=""),"",MAX(0,(E12-D12)*1440))</x:f>
      </x:c>
      <x:c r="G12" s="79" t="str">
        <x:v>未开始</x:v>
      </x:c>
      <x:c r="H12" s="79" t="n">
        <x:v>0</x:v>
      </x:c>
      <x:c r="I12" s="79" t="n">
        <x:v>0</x:v>
      </x:c>
      <x:c r="J12" s="79" t="n">
        <x:v>0</x:v>
      </x:c>
      <x:c r="K12" s="80"/>
    </x:row>
    <x:row r="13">
      <x:c r="A13" s="75" t="str">
        <x:v>P002</x:v>
      </x:c>
      <x:c r="B13" s="76" t="str">
        <x:v>obtain-template</x:v>
      </x:c>
      <x:c r="C13" s="76" t="str">
        <x:v>取得并打开严格模板</x:v>
      </x:c>
      <x:c r="D13" s="77"/>
      <x:c r="E13" s="77"/>
      <x:c r="F13" s="78" t="str">
        <x:f>IF(OR(D13="",E13=""),"",MAX(0,(E13-D13)*1440))</x:f>
      </x:c>
      <x:c r="G13" s="79" t="str">
        <x:v>未开始</x:v>
      </x:c>
      <x:c r="H13" s="79" t="n">
        <x:v>0</x:v>
      </x:c>
      <x:c r="I13" s="79" t="n">
        <x:v>0</x:v>
      </x:c>
      <x:c r="J13" s="79" t="n">
        <x:v>0</x:v>
      </x:c>
      <x:c r="K13" s="80"/>
    </x:row>
    <x:row r="14">
      <x:c r="A14" s="75" t="str">
        <x:v>P002</x:v>
      </x:c>
      <x:c r="B14" s="76" t="str">
        <x:v>complete-workbook</x:v>
      </x:c>
      <x:c r="C14" s="76" t="str">
        <x:v>只填允许单元格并完成项目设置</x:v>
      </x:c>
      <x:c r="D14" s="77"/>
      <x:c r="E14" s="77"/>
      <x:c r="F14" s="78" t="str">
        <x:f>IF(OR(D14="",E14=""),"",MAX(0,(E14-D14)*1440))</x:f>
      </x:c>
      <x:c r="G14" s="79" t="str">
        <x:v>未开始</x:v>
      </x:c>
      <x:c r="H14" s="79" t="n">
        <x:v>0</x:v>
      </x:c>
      <x:c r="I14" s="79" t="n">
        <x:v>0</x:v>
      </x:c>
      <x:c r="J14" s="79" t="n">
        <x:v>0</x:v>
      </x:c>
      <x:c r="K14" s="80"/>
    </x:row>
    <x:row r="15">
      <x:c r="A15" s="75" t="str">
        <x:v>P002</x:v>
      </x:c>
      <x:c r="B15" s="76" t="str">
        <x:v>correct-invalid-cell</x:v>
      </x:c>
      <x:c r="C15" s="76" t="str">
        <x:v>按稳定代码和单元格地址纠错</x:v>
      </x:c>
      <x:c r="D15" s="77"/>
      <x:c r="E15" s="77"/>
      <x:c r="F15" s="78" t="str">
        <x:f>IF(OR(D15="",E15=""),"",MAX(0,(E15-D15)*1440))</x:f>
      </x:c>
      <x:c r="G15" s="79" t="str">
        <x:v>未开始</x:v>
      </x:c>
      <x:c r="H15" s="79" t="n">
        <x:v>0</x:v>
      </x:c>
      <x:c r="I15" s="79" t="n">
        <x:v>0</x:v>
      </x:c>
      <x:c r="J15" s="79" t="n">
        <x:v>0</x:v>
      </x:c>
      <x:c r="K15" s="80"/>
    </x:row>
    <x:row r="16">
      <x:c r="A16" s="75" t="str">
        <x:v>P002</x:v>
      </x:c>
      <x:c r="B16" s="76" t="str">
        <x:v>run-check</x:v>
      </x:c>
      <x:c r="C16" s="76" t="str">
        <x:v>运行 dcc_check 并找到检查产物</x:v>
      </x:c>
      <x:c r="D16" s="77"/>
      <x:c r="E16" s="77"/>
      <x:c r="F16" s="78" t="str">
        <x:f>IF(OR(D16="",E16=""),"",MAX(0,(E16-D16)*1440))</x:f>
      </x:c>
      <x:c r="G16" s="79" t="str">
        <x:v>未开始</x:v>
      </x:c>
      <x:c r="H16" s="79" t="n">
        <x:v>0</x:v>
      </x:c>
      <x:c r="I16" s="79" t="n">
        <x:v>0</x:v>
      </x:c>
      <x:c r="J16" s="79" t="n">
        <x:v>0</x:v>
      </x:c>
      <x:c r="K16" s="80"/>
    </x:row>
    <x:row r="17">
      <x:c r="A17" s="75" t="str">
        <x:v>P002</x:v>
      </x:c>
      <x:c r="B17" s="76" t="str">
        <x:v>run-preview</x:v>
      </x:c>
      <x:c r="C17" s="76" t="str">
        <x:v>运行 preview 并解释不改变数据</x:v>
      </x:c>
      <x:c r="D17" s="77"/>
      <x:c r="E17" s="77"/>
      <x:c r="F17" s="78" t="str">
        <x:f>IF(OR(D17="",E17=""),"",MAX(0,(E17-D17)*1440))</x:f>
      </x:c>
      <x:c r="G17" s="79" t="str">
        <x:v>未开始</x:v>
      </x:c>
      <x:c r="H17" s="79" t="n">
        <x:v>0</x:v>
      </x:c>
      <x:c r="I17" s="79" t="n">
        <x:v>0</x:v>
      </x:c>
      <x:c r="J17" s="79" t="n">
        <x:v>0</x:v>
      </x:c>
      <x:c r="K17" s="80"/>
    </x:row>
    <x:row r="18">
      <x:c r="A18" s="75" t="str">
        <x:v>P002</x:v>
      </x:c>
      <x:c r="B18" s="76" t="str">
        <x:v>authorize-execution</x:v>
      </x:c>
      <x:c r="C18" s="76" t="str">
        <x:v>检查 preview 后授权 execute</x:v>
      </x:c>
      <x:c r="D18" s="77"/>
      <x:c r="E18" s="77"/>
      <x:c r="F18" s="78" t="str">
        <x:f>IF(OR(D18="",E18=""),"",MAX(0,(E18-D18)*1440))</x:f>
      </x:c>
      <x:c r="G18" s="79" t="str">
        <x:v>未开始</x:v>
      </x:c>
      <x:c r="H18" s="79" t="n">
        <x:v>0</x:v>
      </x:c>
      <x:c r="I18" s="79" t="n">
        <x:v>0</x:v>
      </x:c>
      <x:c r="J18" s="79" t="n">
        <x:v>0</x:v>
      </x:c>
      <x:c r="K18" s="80"/>
    </x:row>
    <x:row r="19">
      <x:c r="A19" s="75" t="str">
        <x:v>P002</x:v>
      </x:c>
      <x:c r="B19" s="76" t="str">
        <x:v>interpret-and-export</x:v>
      </x:c>
      <x:c r="C19" s="76" t="str">
        <x:v>解释工作人员报告并导出</x:v>
      </x:c>
      <x:c r="D19" s="77"/>
      <x:c r="E19" s="77"/>
      <x:c r="F19" s="78" t="str">
        <x:f>IF(OR(D19="",E19=""),"",MAX(0,(E19-D19)*1440))</x:f>
      </x:c>
      <x:c r="G19" s="79" t="str">
        <x:v>未开始</x:v>
      </x:c>
      <x:c r="H19" s="79" t="n">
        <x:v>0</x:v>
      </x:c>
      <x:c r="I19" s="79" t="n">
        <x:v>0</x:v>
      </x:c>
      <x:c r="J19" s="79" t="n">
        <x:v>0</x:v>
      </x:c>
      <x:c r="K19" s="80"/>
    </x:row>
    <x:row r="20">
      <x:c r="A20" s="75" t="str">
        <x:v>P003</x:v>
      </x:c>
      <x:c r="B20" s="76" t="str">
        <x:v>obtain-template</x:v>
      </x:c>
      <x:c r="C20" s="76" t="str">
        <x:v>取得并打开严格模板</x:v>
      </x:c>
      <x:c r="D20" s="77"/>
      <x:c r="E20" s="77"/>
      <x:c r="F20" s="78" t="str">
        <x:f>IF(OR(D20="",E20=""),"",MAX(0,(E20-D20)*1440))</x:f>
      </x:c>
      <x:c r="G20" s="79" t="str">
        <x:v>未开始</x:v>
      </x:c>
      <x:c r="H20" s="79" t="n">
        <x:v>0</x:v>
      </x:c>
      <x:c r="I20" s="79" t="n">
        <x:v>0</x:v>
      </x:c>
      <x:c r="J20" s="79" t="n">
        <x:v>0</x:v>
      </x:c>
      <x:c r="K20" s="80"/>
    </x:row>
    <x:row r="21">
      <x:c r="A21" s="75" t="str">
        <x:v>P003</x:v>
      </x:c>
      <x:c r="B21" s="76" t="str">
        <x:v>complete-workbook</x:v>
      </x:c>
      <x:c r="C21" s="76" t="str">
        <x:v>只填允许单元格并完成项目设置</x:v>
      </x:c>
      <x:c r="D21" s="77"/>
      <x:c r="E21" s="77"/>
      <x:c r="F21" s="78" t="str">
        <x:f>IF(OR(D21="",E21=""),"",MAX(0,(E21-D21)*1440))</x:f>
      </x:c>
      <x:c r="G21" s="79" t="str">
        <x:v>未开始</x:v>
      </x:c>
      <x:c r="H21" s="79" t="n">
        <x:v>0</x:v>
      </x:c>
      <x:c r="I21" s="79" t="n">
        <x:v>0</x:v>
      </x:c>
      <x:c r="J21" s="79" t="n">
        <x:v>0</x:v>
      </x:c>
      <x:c r="K21" s="80"/>
    </x:row>
    <x:row r="22">
      <x:c r="A22" s="75" t="str">
        <x:v>P003</x:v>
      </x:c>
      <x:c r="B22" s="76" t="str">
        <x:v>correct-invalid-cell</x:v>
      </x:c>
      <x:c r="C22" s="76" t="str">
        <x:v>按稳定代码和单元格地址纠错</x:v>
      </x:c>
      <x:c r="D22" s="77"/>
      <x:c r="E22" s="77"/>
      <x:c r="F22" s="78" t="str">
        <x:f>IF(OR(D22="",E22=""),"",MAX(0,(E22-D22)*1440))</x:f>
      </x:c>
      <x:c r="G22" s="79" t="str">
        <x:v>未开始</x:v>
      </x:c>
      <x:c r="H22" s="79" t="n">
        <x:v>0</x:v>
      </x:c>
      <x:c r="I22" s="79" t="n">
        <x:v>0</x:v>
      </x:c>
      <x:c r="J22" s="79" t="n">
        <x:v>0</x:v>
      </x:c>
      <x:c r="K22" s="80"/>
    </x:row>
    <x:row r="23">
      <x:c r="A23" s="75" t="str">
        <x:v>P003</x:v>
      </x:c>
      <x:c r="B23" s="76" t="str">
        <x:v>run-check</x:v>
      </x:c>
      <x:c r="C23" s="76" t="str">
        <x:v>运行 dcc_check 并找到检查产物</x:v>
      </x:c>
      <x:c r="D23" s="77"/>
      <x:c r="E23" s="77"/>
      <x:c r="F23" s="78" t="str">
        <x:f>IF(OR(D23="",E23=""),"",MAX(0,(E23-D23)*1440))</x:f>
      </x:c>
      <x:c r="G23" s="79" t="str">
        <x:v>未开始</x:v>
      </x:c>
      <x:c r="H23" s="79" t="n">
        <x:v>0</x:v>
      </x:c>
      <x:c r="I23" s="79" t="n">
        <x:v>0</x:v>
      </x:c>
      <x:c r="J23" s="79" t="n">
        <x:v>0</x:v>
      </x:c>
      <x:c r="K23" s="80"/>
    </x:row>
    <x:row r="24">
      <x:c r="A24" s="75" t="str">
        <x:v>P003</x:v>
      </x:c>
      <x:c r="B24" s="76" t="str">
        <x:v>run-preview</x:v>
      </x:c>
      <x:c r="C24" s="76" t="str">
        <x:v>运行 preview 并解释不改变数据</x:v>
      </x:c>
      <x:c r="D24" s="77"/>
      <x:c r="E24" s="77"/>
      <x:c r="F24" s="78" t="str">
        <x:f>IF(OR(D24="",E24=""),"",MAX(0,(E24-D24)*1440))</x:f>
      </x:c>
      <x:c r="G24" s="79" t="str">
        <x:v>未开始</x:v>
      </x:c>
      <x:c r="H24" s="79" t="n">
        <x:v>0</x:v>
      </x:c>
      <x:c r="I24" s="79" t="n">
        <x:v>0</x:v>
      </x:c>
      <x:c r="J24" s="79" t="n">
        <x:v>0</x:v>
      </x:c>
      <x:c r="K24" s="80"/>
    </x:row>
    <x:row r="25">
      <x:c r="A25" s="75" t="str">
        <x:v>P003</x:v>
      </x:c>
      <x:c r="B25" s="76" t="str">
        <x:v>authorize-execution</x:v>
      </x:c>
      <x:c r="C25" s="76" t="str">
        <x:v>检查 preview 后授权 execute</x:v>
      </x:c>
      <x:c r="D25" s="77"/>
      <x:c r="E25" s="77"/>
      <x:c r="F25" s="78" t="str">
        <x:f>IF(OR(D25="",E25=""),"",MAX(0,(E25-D25)*1440))</x:f>
      </x:c>
      <x:c r="G25" s="79" t="str">
        <x:v>未开始</x:v>
      </x:c>
      <x:c r="H25" s="79" t="n">
        <x:v>0</x:v>
      </x:c>
      <x:c r="I25" s="79" t="n">
        <x:v>0</x:v>
      </x:c>
      <x:c r="J25" s="79" t="n">
        <x:v>0</x:v>
      </x:c>
      <x:c r="K25" s="80"/>
    </x:row>
    <x:row r="26">
      <x:c r="A26" s="75" t="str">
        <x:v>P003</x:v>
      </x:c>
      <x:c r="B26" s="76" t="str">
        <x:v>interpret-and-export</x:v>
      </x:c>
      <x:c r="C26" s="76" t="str">
        <x:v>解释工作人员报告并导出</x:v>
      </x:c>
      <x:c r="D26" s="77"/>
      <x:c r="E26" s="77"/>
      <x:c r="F26" s="78" t="str">
        <x:f>IF(OR(D26="",E26=""),"",MAX(0,(E26-D26)*1440))</x:f>
      </x:c>
      <x:c r="G26" s="79" t="str">
        <x:v>未开始</x:v>
      </x:c>
      <x:c r="H26" s="79" t="n">
        <x:v>0</x:v>
      </x:c>
      <x:c r="I26" s="79" t="n">
        <x:v>0</x:v>
      </x:c>
      <x:c r="J26" s="79" t="n">
        <x:v>0</x:v>
      </x:c>
      <x:c r="K26" s="80"/>
    </x:row>
    <x:row r="27">
      <x:c r="A27" s="75" t="str">
        <x:v>P004</x:v>
      </x:c>
      <x:c r="B27" s="76" t="str">
        <x:v>obtain-template</x:v>
      </x:c>
      <x:c r="C27" s="76" t="str">
        <x:v>取得并打开严格模板</x:v>
      </x:c>
      <x:c r="D27" s="77"/>
      <x:c r="E27" s="77"/>
      <x:c r="F27" s="78" t="str">
        <x:f>IF(OR(D27="",E27=""),"",MAX(0,(E27-D27)*1440))</x:f>
      </x:c>
      <x:c r="G27" s="79" t="str">
        <x:v>未开始</x:v>
      </x:c>
      <x:c r="H27" s="79" t="n">
        <x:v>0</x:v>
      </x:c>
      <x:c r="I27" s="79" t="n">
        <x:v>0</x:v>
      </x:c>
      <x:c r="J27" s="79" t="n">
        <x:v>0</x:v>
      </x:c>
      <x:c r="K27" s="80"/>
    </x:row>
    <x:row r="28">
      <x:c r="A28" s="75" t="str">
        <x:v>P004</x:v>
      </x:c>
      <x:c r="B28" s="76" t="str">
        <x:v>complete-workbook</x:v>
      </x:c>
      <x:c r="C28" s="76" t="str">
        <x:v>只填允许单元格并完成项目设置</x:v>
      </x:c>
      <x:c r="D28" s="77"/>
      <x:c r="E28" s="77"/>
      <x:c r="F28" s="78" t="str">
        <x:f>IF(OR(D28="",E28=""),"",MAX(0,(E28-D28)*1440))</x:f>
      </x:c>
      <x:c r="G28" s="79" t="str">
        <x:v>未开始</x:v>
      </x:c>
      <x:c r="H28" s="79" t="n">
        <x:v>0</x:v>
      </x:c>
      <x:c r="I28" s="79" t="n">
        <x:v>0</x:v>
      </x:c>
      <x:c r="J28" s="79" t="n">
        <x:v>0</x:v>
      </x:c>
      <x:c r="K28" s="80"/>
    </x:row>
    <x:row r="29">
      <x:c r="A29" s="75" t="str">
        <x:v>P004</x:v>
      </x:c>
      <x:c r="B29" s="76" t="str">
        <x:v>correct-invalid-cell</x:v>
      </x:c>
      <x:c r="C29" s="76" t="str">
        <x:v>按稳定代码和单元格地址纠错</x:v>
      </x:c>
      <x:c r="D29" s="77"/>
      <x:c r="E29" s="77"/>
      <x:c r="F29" s="78" t="str">
        <x:f>IF(OR(D29="",E29=""),"",MAX(0,(E29-D29)*1440))</x:f>
      </x:c>
      <x:c r="G29" s="79" t="str">
        <x:v>未开始</x:v>
      </x:c>
      <x:c r="H29" s="79" t="n">
        <x:v>0</x:v>
      </x:c>
      <x:c r="I29" s="79" t="n">
        <x:v>0</x:v>
      </x:c>
      <x:c r="J29" s="79" t="n">
        <x:v>0</x:v>
      </x:c>
      <x:c r="K29" s="80"/>
    </x:row>
    <x:row r="30">
      <x:c r="A30" s="75" t="str">
        <x:v>P004</x:v>
      </x:c>
      <x:c r="B30" s="76" t="str">
        <x:v>run-check</x:v>
      </x:c>
      <x:c r="C30" s="76" t="str">
        <x:v>运行 dcc_check 并找到检查产物</x:v>
      </x:c>
      <x:c r="D30" s="77"/>
      <x:c r="E30" s="77"/>
      <x:c r="F30" s="78" t="str">
        <x:f>IF(OR(D30="",E30=""),"",MAX(0,(E30-D30)*1440))</x:f>
      </x:c>
      <x:c r="G30" s="79" t="str">
        <x:v>未开始</x:v>
      </x:c>
      <x:c r="H30" s="79" t="n">
        <x:v>0</x:v>
      </x:c>
      <x:c r="I30" s="79" t="n">
        <x:v>0</x:v>
      </x:c>
      <x:c r="J30" s="79" t="n">
        <x:v>0</x:v>
      </x:c>
      <x:c r="K30" s="80"/>
    </x:row>
    <x:row r="31">
      <x:c r="A31" s="75" t="str">
        <x:v>P004</x:v>
      </x:c>
      <x:c r="B31" s="76" t="str">
        <x:v>run-preview</x:v>
      </x:c>
      <x:c r="C31" s="76" t="str">
        <x:v>运行 preview 并解释不改变数据</x:v>
      </x:c>
      <x:c r="D31" s="77"/>
      <x:c r="E31" s="77"/>
      <x:c r="F31" s="78" t="str">
        <x:f>IF(OR(D31="",E31=""),"",MAX(0,(E31-D31)*1440))</x:f>
      </x:c>
      <x:c r="G31" s="79" t="str">
        <x:v>未开始</x:v>
      </x:c>
      <x:c r="H31" s="79" t="n">
        <x:v>0</x:v>
      </x:c>
      <x:c r="I31" s="79" t="n">
        <x:v>0</x:v>
      </x:c>
      <x:c r="J31" s="79" t="n">
        <x:v>0</x:v>
      </x:c>
      <x:c r="K31" s="80"/>
    </x:row>
    <x:row r="32">
      <x:c r="A32" s="75" t="str">
        <x:v>P004</x:v>
      </x:c>
      <x:c r="B32" s="76" t="str">
        <x:v>authorize-execution</x:v>
      </x:c>
      <x:c r="C32" s="76" t="str">
        <x:v>检查 preview 后授权 execute</x:v>
      </x:c>
      <x:c r="D32" s="77"/>
      <x:c r="E32" s="77"/>
      <x:c r="F32" s="78" t="str">
        <x:f>IF(OR(D32="",E32=""),"",MAX(0,(E32-D32)*1440))</x:f>
      </x:c>
      <x:c r="G32" s="79" t="str">
        <x:v>未开始</x:v>
      </x:c>
      <x:c r="H32" s="79" t="n">
        <x:v>0</x:v>
      </x:c>
      <x:c r="I32" s="79" t="n">
        <x:v>0</x:v>
      </x:c>
      <x:c r="J32" s="79" t="n">
        <x:v>0</x:v>
      </x:c>
      <x:c r="K32" s="80"/>
    </x:row>
    <x:row r="33">
      <x:c r="A33" s="75" t="str">
        <x:v>P004</x:v>
      </x:c>
      <x:c r="B33" s="76" t="str">
        <x:v>interpret-and-export</x:v>
      </x:c>
      <x:c r="C33" s="76" t="str">
        <x:v>解释工作人员报告并导出</x:v>
      </x:c>
      <x:c r="D33" s="77"/>
      <x:c r="E33" s="77"/>
      <x:c r="F33" s="78" t="str">
        <x:f>IF(OR(D33="",E33=""),"",MAX(0,(E33-D33)*1440))</x:f>
      </x:c>
      <x:c r="G33" s="79" t="str">
        <x:v>未开始</x:v>
      </x:c>
      <x:c r="H33" s="79" t="n">
        <x:v>0</x:v>
      </x:c>
      <x:c r="I33" s="79" t="n">
        <x:v>0</x:v>
      </x:c>
      <x:c r="J33" s="79" t="n">
        <x:v>0</x:v>
      </x:c>
      <x:c r="K33" s="80"/>
    </x:row>
    <x:row r="34">
      <x:c r="A34" s="75" t="str">
        <x:v>P005</x:v>
      </x:c>
      <x:c r="B34" s="76" t="str">
        <x:v>obtain-template</x:v>
      </x:c>
      <x:c r="C34" s="76" t="str">
        <x:v>取得并打开严格模板</x:v>
      </x:c>
      <x:c r="D34" s="77"/>
      <x:c r="E34" s="77"/>
      <x:c r="F34" s="78" t="str">
        <x:f>IF(OR(D34="",E34=""),"",MAX(0,(E34-D34)*1440))</x:f>
      </x:c>
      <x:c r="G34" s="79" t="str">
        <x:v>未开始</x:v>
      </x:c>
      <x:c r="H34" s="79" t="n">
        <x:v>0</x:v>
      </x:c>
      <x:c r="I34" s="79" t="n">
        <x:v>0</x:v>
      </x:c>
      <x:c r="J34" s="79" t="n">
        <x:v>0</x:v>
      </x:c>
      <x:c r="K34" s="80"/>
    </x:row>
    <x:row r="35">
      <x:c r="A35" s="75" t="str">
        <x:v>P005</x:v>
      </x:c>
      <x:c r="B35" s="76" t="str">
        <x:v>complete-workbook</x:v>
      </x:c>
      <x:c r="C35" s="76" t="str">
        <x:v>只填允许单元格并完成项目设置</x:v>
      </x:c>
      <x:c r="D35" s="77"/>
      <x:c r="E35" s="77"/>
      <x:c r="F35" s="78" t="str">
        <x:f>IF(OR(D35="",E35=""),"",MAX(0,(E35-D35)*1440))</x:f>
      </x:c>
      <x:c r="G35" s="79" t="str">
        <x:v>未开始</x:v>
      </x:c>
      <x:c r="H35" s="79" t="n">
        <x:v>0</x:v>
      </x:c>
      <x:c r="I35" s="79" t="n">
        <x:v>0</x:v>
      </x:c>
      <x:c r="J35" s="79" t="n">
        <x:v>0</x:v>
      </x:c>
      <x:c r="K35" s="80"/>
    </x:row>
    <x:row r="36">
      <x:c r="A36" s="75" t="str">
        <x:v>P005</x:v>
      </x:c>
      <x:c r="B36" s="76" t="str">
        <x:v>correct-invalid-cell</x:v>
      </x:c>
      <x:c r="C36" s="76" t="str">
        <x:v>按稳定代码和单元格地址纠错</x:v>
      </x:c>
      <x:c r="D36" s="77"/>
      <x:c r="E36" s="77"/>
      <x:c r="F36" s="78" t="str">
        <x:f>IF(OR(D36="",E36=""),"",MAX(0,(E36-D36)*1440))</x:f>
      </x:c>
      <x:c r="G36" s="79" t="str">
        <x:v>未开始</x:v>
      </x:c>
      <x:c r="H36" s="79" t="n">
        <x:v>0</x:v>
      </x:c>
      <x:c r="I36" s="79" t="n">
        <x:v>0</x:v>
      </x:c>
      <x:c r="J36" s="79" t="n">
        <x:v>0</x:v>
      </x:c>
      <x:c r="K36" s="80"/>
    </x:row>
    <x:row r="37">
      <x:c r="A37" s="75" t="str">
        <x:v>P005</x:v>
      </x:c>
      <x:c r="B37" s="76" t="str">
        <x:v>run-check</x:v>
      </x:c>
      <x:c r="C37" s="76" t="str">
        <x:v>运行 dcc_check 并找到检查产物</x:v>
      </x:c>
      <x:c r="D37" s="77"/>
      <x:c r="E37" s="77"/>
      <x:c r="F37" s="78" t="str">
        <x:f>IF(OR(D37="",E37=""),"",MAX(0,(E37-D37)*1440))</x:f>
      </x:c>
      <x:c r="G37" s="79" t="str">
        <x:v>未开始</x:v>
      </x:c>
      <x:c r="H37" s="79" t="n">
        <x:v>0</x:v>
      </x:c>
      <x:c r="I37" s="79" t="n">
        <x:v>0</x:v>
      </x:c>
      <x:c r="J37" s="79" t="n">
        <x:v>0</x:v>
      </x:c>
      <x:c r="K37" s="80"/>
    </x:row>
    <x:row r="38">
      <x:c r="A38" s="75" t="str">
        <x:v>P005</x:v>
      </x:c>
      <x:c r="B38" s="76" t="str">
        <x:v>run-preview</x:v>
      </x:c>
      <x:c r="C38" s="76" t="str">
        <x:v>运行 preview 并解释不改变数据</x:v>
      </x:c>
      <x:c r="D38" s="77"/>
      <x:c r="E38" s="77"/>
      <x:c r="F38" s="78" t="str">
        <x:f>IF(OR(D38="",E38=""),"",MAX(0,(E38-D38)*1440))</x:f>
      </x:c>
      <x:c r="G38" s="79" t="str">
        <x:v>未开始</x:v>
      </x:c>
      <x:c r="H38" s="79" t="n">
        <x:v>0</x:v>
      </x:c>
      <x:c r="I38" s="79" t="n">
        <x:v>0</x:v>
      </x:c>
      <x:c r="J38" s="79" t="n">
        <x:v>0</x:v>
      </x:c>
      <x:c r="K38" s="80"/>
    </x:row>
    <x:row r="39">
      <x:c r="A39" s="75" t="str">
        <x:v>P005</x:v>
      </x:c>
      <x:c r="B39" s="76" t="str">
        <x:v>authorize-execution</x:v>
      </x:c>
      <x:c r="C39" s="76" t="str">
        <x:v>检查 preview 后授权 execute</x:v>
      </x:c>
      <x:c r="D39" s="77"/>
      <x:c r="E39" s="77"/>
      <x:c r="F39" s="78" t="str">
        <x:f>IF(OR(D39="",E39=""),"",MAX(0,(E39-D39)*1440))</x:f>
      </x:c>
      <x:c r="G39" s="79" t="str">
        <x:v>未开始</x:v>
      </x:c>
      <x:c r="H39" s="79" t="n">
        <x:v>0</x:v>
      </x:c>
      <x:c r="I39" s="79" t="n">
        <x:v>0</x:v>
      </x:c>
      <x:c r="J39" s="79" t="n">
        <x:v>0</x:v>
      </x:c>
      <x:c r="K39" s="80"/>
    </x:row>
    <x:row r="40">
      <x:c r="A40" s="81" t="str">
        <x:v>P005</x:v>
      </x:c>
      <x:c r="B40" s="82" t="str">
        <x:v>interpret-and-export</x:v>
      </x:c>
      <x:c r="C40" s="82" t="str">
        <x:v>解释工作人员报告并导出</x:v>
      </x:c>
      <x:c r="D40" s="83"/>
      <x:c r="E40" s="83"/>
      <x:c r="F40" s="84" t="str">
        <x:f>IF(OR(D40="",E40=""),"",MAX(0,(E40-D40)*1440))</x:f>
      </x:c>
      <x:c r="G40" s="85" t="str">
        <x:v>未开始</x:v>
      </x:c>
      <x:c r="H40" s="85" t="n">
        <x:v>0</x:v>
      </x:c>
      <x:c r="I40" s="85" t="n">
        <x:v>0</x:v>
      </x:c>
      <x:c r="J40" s="85" t="n">
        <x:v>0</x:v>
      </x:c>
      <x:c r="K40" s="86"/>
    </x:row>
  </x:sheetData>
  <x:mergeCells>
    <x:mergeCell ref="A1:J2"/>
    <x:mergeCell ref="A3:J3"/>
  </x:mergeCells>
  <x:dataValidations count="4">
    <x:dataValidation type="list" sqref="G6:G40">
      <x:formula1>"未开始,完成,未完成,中止"</x:formula1>
    </x:dataValidation>
    <x:dataValidation type="whole" operator="between" sqref="H6:H40">
      <x:formula1>0</x:formula1>
      <x:formula2>99</x:formula2>
    </x:dataValidation>
    <x:dataValidation type="whole" operator="between" sqref="I6:I40">
      <x:formula1>0</x:formula1>
      <x:formula2>99</x:formula2>
    </x:dataValidation>
    <x:dataValidation type="whole" operator="between" sqref="J6:J40">
      <x:formula1>0</x:formula1>
      <x:formula2>99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4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1" customHeight="1">
      <x:c r="A1" s="4" t="str">
        <x:v>Preview / Execute 区分测试</x:v>
      </x:c>
    </x:row>
    <x:row r="2" ht="31" customHeight="1"/>
    <x:row r="3">
      <x:c r="A3" s="8" t="str">
        <x:v>由参与者独立回答，主持人不得提示。答案仅允许“是”或“否”。</x:v>
      </x:c>
    </x:row>
    <x:row r="5">
      <x:c r="A5" s="72" t="str">
        <x:v>参与者</x:v>
      </x:c>
      <x:c r="B5" s="73" t="str">
        <x:v>题号</x:v>
      </x:c>
      <x:c r="C5" s="73" t="str">
        <x:v>问题</x:v>
      </x:c>
      <x:c r="D5" s="73" t="str">
        <x:v>参与者答案</x:v>
      </x:c>
      <x:c r="E5" s="73" t="str">
        <x:v>正确答案</x:v>
      </x:c>
      <x:c r="F5" s="74" t="str">
        <x:v>正确（1/0）</x:v>
      </x:c>
    </x:row>
    <x:row r="6">
      <x:c r="A6" s="75" t="str">
        <x:v>P001</x:v>
      </x:c>
      <x:c r="B6" s="76" t="n">
        <x:v>1</x:v>
      </x:c>
      <x:c r="C6" s="76" t="str">
        <x:v>Preview 会执行清洗动作吗？</x:v>
      </x:c>
      <x:c r="D6" s="79"/>
      <x:c r="E6" s="76" t="str">
        <x:v>否</x:v>
      </x:c>
      <x:c r="F6" s="96" t="str">
        <x:f>IF(D6="","",IF(D6=E6,1,0))</x:f>
      </x:c>
    </x:row>
    <x:row r="7">
      <x:c r="A7" s="75" t="str">
        <x:v>P001</x:v>
      </x:c>
      <x:c r="B7" s="76" t="n">
        <x:v>2</x:v>
      </x:c>
      <x:c r="C7" s="76" t="str">
        <x:v>Execute 前是否必须先验证并查看 preview？</x:v>
      </x:c>
      <x:c r="D7" s="79"/>
      <x:c r="E7" s="76" t="str">
        <x:v>是</x:v>
      </x:c>
      <x:c r="F7" s="96" t="str">
        <x:f>IF(D7="","",IF(D7=E7,1,0))</x:f>
      </x:c>
    </x:row>
    <x:row r="8">
      <x:c r="A8" s="75" t="str">
        <x:v>P001</x:v>
      </x:c>
      <x:c r="B8" s="76" t="n">
        <x:v>3</x:v>
      </x:c>
      <x:c r="C8" s="76" t="str">
        <x:v>Preview 会写出 cleaned data 吗？</x:v>
      </x:c>
      <x:c r="D8" s="79"/>
      <x:c r="E8" s="76" t="str">
        <x:v>否</x:v>
      </x:c>
      <x:c r="F8" s="96" t="str">
        <x:f>IF(D8="","",IF(D8=E8,1,0))</x:f>
      </x:c>
    </x:row>
    <x:row r="9">
      <x:c r="A9" s="75" t="str">
        <x:v>P001</x:v>
      </x:c>
      <x:c r="B9" s="76" t="n">
        <x:v>4</x:v>
      </x:c>
      <x:c r="C9" s="76" t="str">
        <x:v>DCC 可以覆盖原始数据文件吗？</x:v>
      </x:c>
      <x:c r="D9" s="79"/>
      <x:c r="E9" s="76" t="str">
        <x:v>否</x:v>
      </x:c>
      <x:c r="F9" s="96" t="str">
        <x:f>IF(D9="","",IF(D9=E9,1,0))</x:f>
      </x:c>
    </x:row>
    <x:row r="10">
      <x:c r="A10" s="75" t="str">
        <x:v>P002</x:v>
      </x:c>
      <x:c r="B10" s="76" t="n">
        <x:v>1</x:v>
      </x:c>
      <x:c r="C10" s="76" t="str">
        <x:v>Preview 会执行清洗动作吗？</x:v>
      </x:c>
      <x:c r="D10" s="79"/>
      <x:c r="E10" s="76" t="str">
        <x:v>否</x:v>
      </x:c>
      <x:c r="F10" s="96" t="str">
        <x:f>IF(D10="","",IF(D10=E10,1,0))</x:f>
      </x:c>
    </x:row>
    <x:row r="11">
      <x:c r="A11" s="75" t="str">
        <x:v>P002</x:v>
      </x:c>
      <x:c r="B11" s="76" t="n">
        <x:v>2</x:v>
      </x:c>
      <x:c r="C11" s="76" t="str">
        <x:v>Execute 前是否必须先验证并查看 preview？</x:v>
      </x:c>
      <x:c r="D11" s="79"/>
      <x:c r="E11" s="76" t="str">
        <x:v>是</x:v>
      </x:c>
      <x:c r="F11" s="96" t="str">
        <x:f>IF(D11="","",IF(D11=E11,1,0))</x:f>
      </x:c>
    </x:row>
    <x:row r="12">
      <x:c r="A12" s="75" t="str">
        <x:v>P002</x:v>
      </x:c>
      <x:c r="B12" s="76" t="n">
        <x:v>3</x:v>
      </x:c>
      <x:c r="C12" s="76" t="str">
        <x:v>Preview 会写出 cleaned data 吗？</x:v>
      </x:c>
      <x:c r="D12" s="79"/>
      <x:c r="E12" s="76" t="str">
        <x:v>否</x:v>
      </x:c>
      <x:c r="F12" s="96" t="str">
        <x:f>IF(D12="","",IF(D12=E12,1,0))</x:f>
      </x:c>
    </x:row>
    <x:row r="13">
      <x:c r="A13" s="75" t="str">
        <x:v>P002</x:v>
      </x:c>
      <x:c r="B13" s="76" t="n">
        <x:v>4</x:v>
      </x:c>
      <x:c r="C13" s="76" t="str">
        <x:v>DCC 可以覆盖原始数据文件吗？</x:v>
      </x:c>
      <x:c r="D13" s="79"/>
      <x:c r="E13" s="76" t="str">
        <x:v>否</x:v>
      </x:c>
      <x:c r="F13" s="96" t="str">
        <x:f>IF(D13="","",IF(D13=E13,1,0))</x:f>
      </x:c>
    </x:row>
    <x:row r="14">
      <x:c r="A14" s="75" t="str">
        <x:v>P003</x:v>
      </x:c>
      <x:c r="B14" s="76" t="n">
        <x:v>1</x:v>
      </x:c>
      <x:c r="C14" s="76" t="str">
        <x:v>Preview 会执行清洗动作吗？</x:v>
      </x:c>
      <x:c r="D14" s="79"/>
      <x:c r="E14" s="76" t="str">
        <x:v>否</x:v>
      </x:c>
      <x:c r="F14" s="96" t="str">
        <x:f>IF(D14="","",IF(D14=E14,1,0))</x:f>
      </x:c>
    </x:row>
    <x:row r="15">
      <x:c r="A15" s="75" t="str">
        <x:v>P003</x:v>
      </x:c>
      <x:c r="B15" s="76" t="n">
        <x:v>2</x:v>
      </x:c>
      <x:c r="C15" s="76" t="str">
        <x:v>Execute 前是否必须先验证并查看 preview？</x:v>
      </x:c>
      <x:c r="D15" s="79"/>
      <x:c r="E15" s="76" t="str">
        <x:v>是</x:v>
      </x:c>
      <x:c r="F15" s="96" t="str">
        <x:f>IF(D15="","",IF(D15=E15,1,0))</x:f>
      </x:c>
    </x:row>
    <x:row r="16">
      <x:c r="A16" s="75" t="str">
        <x:v>P003</x:v>
      </x:c>
      <x:c r="B16" s="76" t="n">
        <x:v>3</x:v>
      </x:c>
      <x:c r="C16" s="76" t="str">
        <x:v>Preview 会写出 cleaned data 吗？</x:v>
      </x:c>
      <x:c r="D16" s="79"/>
      <x:c r="E16" s="76" t="str">
        <x:v>否</x:v>
      </x:c>
      <x:c r="F16" s="96" t="str">
        <x:f>IF(D16="","",IF(D16=E16,1,0))</x:f>
      </x:c>
    </x:row>
    <x:row r="17">
      <x:c r="A17" s="75" t="str">
        <x:v>P003</x:v>
      </x:c>
      <x:c r="B17" s="76" t="n">
        <x:v>4</x:v>
      </x:c>
      <x:c r="C17" s="76" t="str">
        <x:v>DCC 可以覆盖原始数据文件吗？</x:v>
      </x:c>
      <x:c r="D17" s="79"/>
      <x:c r="E17" s="76" t="str">
        <x:v>否</x:v>
      </x:c>
      <x:c r="F17" s="96" t="str">
        <x:f>IF(D17="","",IF(D17=E17,1,0))</x:f>
      </x:c>
    </x:row>
    <x:row r="18">
      <x:c r="A18" s="75" t="str">
        <x:v>P004</x:v>
      </x:c>
      <x:c r="B18" s="76" t="n">
        <x:v>1</x:v>
      </x:c>
      <x:c r="C18" s="76" t="str">
        <x:v>Preview 会执行清洗动作吗？</x:v>
      </x:c>
      <x:c r="D18" s="79"/>
      <x:c r="E18" s="76" t="str">
        <x:v>否</x:v>
      </x:c>
      <x:c r="F18" s="96" t="str">
        <x:f>IF(D18="","",IF(D18=E18,1,0))</x:f>
      </x:c>
    </x:row>
    <x:row r="19">
      <x:c r="A19" s="75" t="str">
        <x:v>P004</x:v>
      </x:c>
      <x:c r="B19" s="76" t="n">
        <x:v>2</x:v>
      </x:c>
      <x:c r="C19" s="76" t="str">
        <x:v>Execute 前是否必须先验证并查看 preview？</x:v>
      </x:c>
      <x:c r="D19" s="79"/>
      <x:c r="E19" s="76" t="str">
        <x:v>是</x:v>
      </x:c>
      <x:c r="F19" s="96" t="str">
        <x:f>IF(D19="","",IF(D19=E19,1,0))</x:f>
      </x:c>
    </x:row>
    <x:row r="20">
      <x:c r="A20" s="75" t="str">
        <x:v>P004</x:v>
      </x:c>
      <x:c r="B20" s="76" t="n">
        <x:v>3</x:v>
      </x:c>
      <x:c r="C20" s="76" t="str">
        <x:v>Preview 会写出 cleaned data 吗？</x:v>
      </x:c>
      <x:c r="D20" s="79"/>
      <x:c r="E20" s="76" t="str">
        <x:v>否</x:v>
      </x:c>
      <x:c r="F20" s="96" t="str">
        <x:f>IF(D20="","",IF(D20=E20,1,0))</x:f>
      </x:c>
    </x:row>
    <x:row r="21">
      <x:c r="A21" s="75" t="str">
        <x:v>P004</x:v>
      </x:c>
      <x:c r="B21" s="76" t="n">
        <x:v>4</x:v>
      </x:c>
      <x:c r="C21" s="76" t="str">
        <x:v>DCC 可以覆盖原始数据文件吗？</x:v>
      </x:c>
      <x:c r="D21" s="79"/>
      <x:c r="E21" s="76" t="str">
        <x:v>否</x:v>
      </x:c>
      <x:c r="F21" s="96" t="str">
        <x:f>IF(D21="","",IF(D21=E21,1,0))</x:f>
      </x:c>
    </x:row>
    <x:row r="22">
      <x:c r="A22" s="75" t="str">
        <x:v>P005</x:v>
      </x:c>
      <x:c r="B22" s="76" t="n">
        <x:v>1</x:v>
      </x:c>
      <x:c r="C22" s="76" t="str">
        <x:v>Preview 会执行清洗动作吗？</x:v>
      </x:c>
      <x:c r="D22" s="79"/>
      <x:c r="E22" s="76" t="str">
        <x:v>否</x:v>
      </x:c>
      <x:c r="F22" s="96" t="str">
        <x:f>IF(D22="","",IF(D22=E22,1,0))</x:f>
      </x:c>
    </x:row>
    <x:row r="23">
      <x:c r="A23" s="75" t="str">
        <x:v>P005</x:v>
      </x:c>
      <x:c r="B23" s="76" t="n">
        <x:v>2</x:v>
      </x:c>
      <x:c r="C23" s="76" t="str">
        <x:v>Execute 前是否必须先验证并查看 preview？</x:v>
      </x:c>
      <x:c r="D23" s="79"/>
      <x:c r="E23" s="76" t="str">
        <x:v>是</x:v>
      </x:c>
      <x:c r="F23" s="96" t="str">
        <x:f>IF(D23="","",IF(D23=E23,1,0))</x:f>
      </x:c>
    </x:row>
    <x:row r="24">
      <x:c r="A24" s="75" t="str">
        <x:v>P005</x:v>
      </x:c>
      <x:c r="B24" s="76" t="n">
        <x:v>3</x:v>
      </x:c>
      <x:c r="C24" s="76" t="str">
        <x:v>Preview 会写出 cleaned data 吗？</x:v>
      </x:c>
      <x:c r="D24" s="79"/>
      <x:c r="E24" s="76" t="str">
        <x:v>否</x:v>
      </x:c>
      <x:c r="F24" s="96" t="str">
        <x:f>IF(D24="","",IF(D24=E24,1,0))</x:f>
      </x:c>
    </x:row>
    <x:row r="25">
      <x:c r="A25" s="81" t="str">
        <x:v>P005</x:v>
      </x:c>
      <x:c r="B25" s="82" t="n">
        <x:v>4</x:v>
      </x:c>
      <x:c r="C25" s="82" t="str">
        <x:v>DCC 可以覆盖原始数据文件吗？</x:v>
      </x:c>
      <x:c r="D25" s="85"/>
      <x:c r="E25" s="82" t="str">
        <x:v>否</x:v>
      </x:c>
      <x:c r="F25" s="97" t="str">
        <x:f>IF(D25="","",IF(D25=E25,1,0))</x:f>
      </x:c>
    </x:row>
  </x:sheetData>
  <x:mergeCells>
    <x:mergeCell ref="A1:F2"/>
    <x:mergeCell ref="A3:F3"/>
  </x:mergeCells>
  <x:dataValidations count="1">
    <x:dataValidation type="list" sqref="D6:D25">
      <x:formula1>"是,否"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56" hidden="0" customWidth="1"/>
    <x:col min="4" max="4" width="14" hidden="0" customWidth="1"/>
    <x:col min="5" max="5" width="14" hidden="0" customWidth="1"/>
  </x:cols>
  <x:sheetData>
    <x:row r="1" ht="31" customHeight="1">
      <x:c r="A1" s="4" t="str">
        <x:v>系统可用性量表（SUS）</x:v>
      </x:c>
    </x:row>
    <x:row r="2" ht="31" customHeight="1"/>
    <x:row r="3">
      <x:c r="A3" s="8" t="str">
        <x:v>请按 1–5 评分：1=非常不同意，5=非常同意。每名参与者必须填写全部 10 项。</x:v>
      </x:c>
    </x:row>
    <x:row r="5">
      <x:c r="A5" s="72" t="str">
        <x:v>参与者</x:v>
      </x:c>
      <x:c r="B5" s="73" t="str">
        <x:v>题号</x:v>
      </x:c>
      <x:c r="C5" s="73" t="str">
        <x:v>陈述</x:v>
      </x:c>
      <x:c r="D5" s="73" t="str">
        <x:v>评分</x:v>
      </x:c>
      <x:c r="E5" s="74" t="str">
        <x:v>计分贡献</x:v>
      </x:c>
    </x:row>
    <x:row r="6">
      <x:c r="A6" s="75" t="str">
        <x:v>P001</x:v>
      </x:c>
      <x:c r="B6" s="76" t="n">
        <x:v>1</x:v>
      </x:c>
      <x:c r="C6" s="76" t="str">
        <x:v>我愿意经常使用这个系统。</x:v>
      </x:c>
      <x:c r="D6" s="79"/>
      <x:c r="E6" s="96" t="str">
        <x:f>IF(D6="","",IF(MOD(B6,2)=1,D6-1,5-D6))</x:f>
      </x:c>
    </x:row>
    <x:row r="7">
      <x:c r="A7" s="75" t="str">
        <x:v>P001</x:v>
      </x:c>
      <x:c r="B7" s="76" t="n">
        <x:v>2</x:v>
      </x:c>
      <x:c r="C7" s="76" t="str">
        <x:v>我觉得这个系统不必要地复杂。</x:v>
      </x:c>
      <x:c r="D7" s="79"/>
      <x:c r="E7" s="96" t="str">
        <x:f>IF(D7="","",IF(MOD(B7,2)=1,D7-1,5-D7))</x:f>
      </x:c>
    </x:row>
    <x:row r="8">
      <x:c r="A8" s="75" t="str">
        <x:v>P001</x:v>
      </x:c>
      <x:c r="B8" s="76" t="n">
        <x:v>3</x:v>
      </x:c>
      <x:c r="C8" s="76" t="str">
        <x:v>我觉得这个系统容易使用。</x:v>
      </x:c>
      <x:c r="D8" s="79"/>
      <x:c r="E8" s="96" t="str">
        <x:f>IF(D8="","",IF(MOD(B8,2)=1,D8-1,5-D8))</x:f>
      </x:c>
    </x:row>
    <x:row r="9">
      <x:c r="A9" s="75" t="str">
        <x:v>P001</x:v>
      </x:c>
      <x:c r="B9" s="76" t="n">
        <x:v>4</x:v>
      </x:c>
      <x:c r="C9" s="76" t="str">
        <x:v>我需要技术人员帮助才能使用这个系统。</x:v>
      </x:c>
      <x:c r="D9" s="79"/>
      <x:c r="E9" s="96" t="str">
        <x:f>IF(D9="","",IF(MOD(B9,2)=1,D9-1,5-D9))</x:f>
      </x:c>
    </x:row>
    <x:row r="10">
      <x:c r="A10" s="75" t="str">
        <x:v>P001</x:v>
      </x:c>
      <x:c r="B10" s="76" t="n">
        <x:v>5</x:v>
      </x:c>
      <x:c r="C10" s="76" t="str">
        <x:v>我觉得系统中的功能整合得很好。</x:v>
      </x:c>
      <x:c r="D10" s="79"/>
      <x:c r="E10" s="96" t="str">
        <x:f>IF(D10="","",IF(MOD(B10,2)=1,D10-1,5-D10))</x:f>
      </x:c>
    </x:row>
    <x:row r="11">
      <x:c r="A11" s="75" t="str">
        <x:v>P001</x:v>
      </x:c>
      <x:c r="B11" s="76" t="n">
        <x:v>6</x:v>
      </x:c>
      <x:c r="C11" s="76" t="str">
        <x:v>我觉得这个系统存在太多不一致。</x:v>
      </x:c>
      <x:c r="D11" s="79"/>
      <x:c r="E11" s="96" t="str">
        <x:f>IF(D11="","",IF(MOD(B11,2)=1,D11-1,5-D11))</x:f>
      </x:c>
    </x:row>
    <x:row r="12">
      <x:c r="A12" s="75" t="str">
        <x:v>P001</x:v>
      </x:c>
      <x:c r="B12" s="76" t="n">
        <x:v>7</x:v>
      </x:c>
      <x:c r="C12" s="76" t="str">
        <x:v>我认为大多数人能很快学会使用这个系统。</x:v>
      </x:c>
      <x:c r="D12" s="79"/>
      <x:c r="E12" s="96" t="str">
        <x:f>IF(D12="","",IF(MOD(B12,2)=1,D12-1,5-D12))</x:f>
      </x:c>
    </x:row>
    <x:row r="13">
      <x:c r="A13" s="75" t="str">
        <x:v>P001</x:v>
      </x:c>
      <x:c r="B13" s="76" t="n">
        <x:v>8</x:v>
      </x:c>
      <x:c r="C13" s="76" t="str">
        <x:v>我觉得这个系统使用起来很笨重。</x:v>
      </x:c>
      <x:c r="D13" s="79"/>
      <x:c r="E13" s="96" t="str">
        <x:f>IF(D13="","",IF(MOD(B13,2)=1,D13-1,5-D13))</x:f>
      </x:c>
    </x:row>
    <x:row r="14">
      <x:c r="A14" s="75" t="str">
        <x:v>P001</x:v>
      </x:c>
      <x:c r="B14" s="76" t="n">
        <x:v>9</x:v>
      </x:c>
      <x:c r="C14" s="76" t="str">
        <x:v>我使用这个系统时很有信心。</x:v>
      </x:c>
      <x:c r="D14" s="79"/>
      <x:c r="E14" s="96" t="str">
        <x:f>IF(D14="","",IF(MOD(B14,2)=1,D14-1,5-D14))</x:f>
      </x:c>
    </x:row>
    <x:row r="15">
      <x:c r="A15" s="75" t="str">
        <x:v>P001</x:v>
      </x:c>
      <x:c r="B15" s="76" t="n">
        <x:v>10</x:v>
      </x:c>
      <x:c r="C15" s="76" t="str">
        <x:v>在开始使用前，我需要学习很多东西。</x:v>
      </x:c>
      <x:c r="D15" s="79"/>
      <x:c r="E15" s="96" t="str">
        <x:f>IF(D15="","",IF(MOD(B15,2)=1,D15-1,5-D15))</x:f>
      </x:c>
    </x:row>
    <x:row r="16">
      <x:c r="A16" s="75" t="str">
        <x:v>P002</x:v>
      </x:c>
      <x:c r="B16" s="76" t="n">
        <x:v>1</x:v>
      </x:c>
      <x:c r="C16" s="76" t="str">
        <x:v>我愿意经常使用这个系统。</x:v>
      </x:c>
      <x:c r="D16" s="79"/>
      <x:c r="E16" s="96" t="str">
        <x:f>IF(D16="","",IF(MOD(B16,2)=1,D16-1,5-D16))</x:f>
      </x:c>
    </x:row>
    <x:row r="17">
      <x:c r="A17" s="75" t="str">
        <x:v>P002</x:v>
      </x:c>
      <x:c r="B17" s="76" t="n">
        <x:v>2</x:v>
      </x:c>
      <x:c r="C17" s="76" t="str">
        <x:v>我觉得这个系统不必要地复杂。</x:v>
      </x:c>
      <x:c r="D17" s="79"/>
      <x:c r="E17" s="96" t="str">
        <x:f>IF(D17="","",IF(MOD(B17,2)=1,D17-1,5-D17))</x:f>
      </x:c>
    </x:row>
    <x:row r="18">
      <x:c r="A18" s="75" t="str">
        <x:v>P002</x:v>
      </x:c>
      <x:c r="B18" s="76" t="n">
        <x:v>3</x:v>
      </x:c>
      <x:c r="C18" s="76" t="str">
        <x:v>我觉得这个系统容易使用。</x:v>
      </x:c>
      <x:c r="D18" s="79"/>
      <x:c r="E18" s="96" t="str">
        <x:f>IF(D18="","",IF(MOD(B18,2)=1,D18-1,5-D18))</x:f>
      </x:c>
    </x:row>
    <x:row r="19">
      <x:c r="A19" s="75" t="str">
        <x:v>P002</x:v>
      </x:c>
      <x:c r="B19" s="76" t="n">
        <x:v>4</x:v>
      </x:c>
      <x:c r="C19" s="76" t="str">
        <x:v>我需要技术人员帮助才能使用这个系统。</x:v>
      </x:c>
      <x:c r="D19" s="79"/>
      <x:c r="E19" s="96" t="str">
        <x:f>IF(D19="","",IF(MOD(B19,2)=1,D19-1,5-D19))</x:f>
      </x:c>
    </x:row>
    <x:row r="20">
      <x:c r="A20" s="75" t="str">
        <x:v>P002</x:v>
      </x:c>
      <x:c r="B20" s="76" t="n">
        <x:v>5</x:v>
      </x:c>
      <x:c r="C20" s="76" t="str">
        <x:v>我觉得系统中的功能整合得很好。</x:v>
      </x:c>
      <x:c r="D20" s="79"/>
      <x:c r="E20" s="96" t="str">
        <x:f>IF(D20="","",IF(MOD(B20,2)=1,D20-1,5-D20))</x:f>
      </x:c>
    </x:row>
    <x:row r="21">
      <x:c r="A21" s="75" t="str">
        <x:v>P002</x:v>
      </x:c>
      <x:c r="B21" s="76" t="n">
        <x:v>6</x:v>
      </x:c>
      <x:c r="C21" s="76" t="str">
        <x:v>我觉得这个系统存在太多不一致。</x:v>
      </x:c>
      <x:c r="D21" s="79"/>
      <x:c r="E21" s="96" t="str">
        <x:f>IF(D21="","",IF(MOD(B21,2)=1,D21-1,5-D21))</x:f>
      </x:c>
    </x:row>
    <x:row r="22">
      <x:c r="A22" s="75" t="str">
        <x:v>P002</x:v>
      </x:c>
      <x:c r="B22" s="76" t="n">
        <x:v>7</x:v>
      </x:c>
      <x:c r="C22" s="76" t="str">
        <x:v>我认为大多数人能很快学会使用这个系统。</x:v>
      </x:c>
      <x:c r="D22" s="79"/>
      <x:c r="E22" s="96" t="str">
        <x:f>IF(D22="","",IF(MOD(B22,2)=1,D22-1,5-D22))</x:f>
      </x:c>
    </x:row>
    <x:row r="23">
      <x:c r="A23" s="75" t="str">
        <x:v>P002</x:v>
      </x:c>
      <x:c r="B23" s="76" t="n">
        <x:v>8</x:v>
      </x:c>
      <x:c r="C23" s="76" t="str">
        <x:v>我觉得这个系统使用起来很笨重。</x:v>
      </x:c>
      <x:c r="D23" s="79"/>
      <x:c r="E23" s="96" t="str">
        <x:f>IF(D23="","",IF(MOD(B23,2)=1,D23-1,5-D23))</x:f>
      </x:c>
    </x:row>
    <x:row r="24">
      <x:c r="A24" s="75" t="str">
        <x:v>P002</x:v>
      </x:c>
      <x:c r="B24" s="76" t="n">
        <x:v>9</x:v>
      </x:c>
      <x:c r="C24" s="76" t="str">
        <x:v>我使用这个系统时很有信心。</x:v>
      </x:c>
      <x:c r="D24" s="79"/>
      <x:c r="E24" s="96" t="str">
        <x:f>IF(D24="","",IF(MOD(B24,2)=1,D24-1,5-D24))</x:f>
      </x:c>
    </x:row>
    <x:row r="25">
      <x:c r="A25" s="75" t="str">
        <x:v>P002</x:v>
      </x:c>
      <x:c r="B25" s="76" t="n">
        <x:v>10</x:v>
      </x:c>
      <x:c r="C25" s="76" t="str">
        <x:v>在开始使用前，我需要学习很多东西。</x:v>
      </x:c>
      <x:c r="D25" s="79"/>
      <x:c r="E25" s="96" t="str">
        <x:f>IF(D25="","",IF(MOD(B25,2)=1,D25-1,5-D25))</x:f>
      </x:c>
    </x:row>
    <x:row r="26">
      <x:c r="A26" s="75" t="str">
        <x:v>P003</x:v>
      </x:c>
      <x:c r="B26" s="76" t="n">
        <x:v>1</x:v>
      </x:c>
      <x:c r="C26" s="76" t="str">
        <x:v>我愿意经常使用这个系统。</x:v>
      </x:c>
      <x:c r="D26" s="79"/>
      <x:c r="E26" s="96" t="str">
        <x:f>IF(D26="","",IF(MOD(B26,2)=1,D26-1,5-D26))</x:f>
      </x:c>
    </x:row>
    <x:row r="27">
      <x:c r="A27" s="75" t="str">
        <x:v>P003</x:v>
      </x:c>
      <x:c r="B27" s="76" t="n">
        <x:v>2</x:v>
      </x:c>
      <x:c r="C27" s="76" t="str">
        <x:v>我觉得这个系统不必要地复杂。</x:v>
      </x:c>
      <x:c r="D27" s="79"/>
      <x:c r="E27" s="96" t="str">
        <x:f>IF(D27="","",IF(MOD(B27,2)=1,D27-1,5-D27))</x:f>
      </x:c>
    </x:row>
    <x:row r="28">
      <x:c r="A28" s="75" t="str">
        <x:v>P003</x:v>
      </x:c>
      <x:c r="B28" s="76" t="n">
        <x:v>3</x:v>
      </x:c>
      <x:c r="C28" s="76" t="str">
        <x:v>我觉得这个系统容易使用。</x:v>
      </x:c>
      <x:c r="D28" s="79"/>
      <x:c r="E28" s="96" t="str">
        <x:f>IF(D28="","",IF(MOD(B28,2)=1,D28-1,5-D28))</x:f>
      </x:c>
    </x:row>
    <x:row r="29">
      <x:c r="A29" s="75" t="str">
        <x:v>P003</x:v>
      </x:c>
      <x:c r="B29" s="76" t="n">
        <x:v>4</x:v>
      </x:c>
      <x:c r="C29" s="76" t="str">
        <x:v>我需要技术人员帮助才能使用这个系统。</x:v>
      </x:c>
      <x:c r="D29" s="79"/>
      <x:c r="E29" s="96" t="str">
        <x:f>IF(D29="","",IF(MOD(B29,2)=1,D29-1,5-D29))</x:f>
      </x:c>
    </x:row>
    <x:row r="30">
      <x:c r="A30" s="75" t="str">
        <x:v>P003</x:v>
      </x:c>
      <x:c r="B30" s="76" t="n">
        <x:v>5</x:v>
      </x:c>
      <x:c r="C30" s="76" t="str">
        <x:v>我觉得系统中的功能整合得很好。</x:v>
      </x:c>
      <x:c r="D30" s="79"/>
      <x:c r="E30" s="96" t="str">
        <x:f>IF(D30="","",IF(MOD(B30,2)=1,D30-1,5-D30))</x:f>
      </x:c>
    </x:row>
    <x:row r="31">
      <x:c r="A31" s="75" t="str">
        <x:v>P003</x:v>
      </x:c>
      <x:c r="B31" s="76" t="n">
        <x:v>6</x:v>
      </x:c>
      <x:c r="C31" s="76" t="str">
        <x:v>我觉得这个系统存在太多不一致。</x:v>
      </x:c>
      <x:c r="D31" s="79"/>
      <x:c r="E31" s="96" t="str">
        <x:f>IF(D31="","",IF(MOD(B31,2)=1,D31-1,5-D31))</x:f>
      </x:c>
    </x:row>
    <x:row r="32">
      <x:c r="A32" s="75" t="str">
        <x:v>P003</x:v>
      </x:c>
      <x:c r="B32" s="76" t="n">
        <x:v>7</x:v>
      </x:c>
      <x:c r="C32" s="76" t="str">
        <x:v>我认为大多数人能很快学会使用这个系统。</x:v>
      </x:c>
      <x:c r="D32" s="79"/>
      <x:c r="E32" s="96" t="str">
        <x:f>IF(D32="","",IF(MOD(B32,2)=1,D32-1,5-D32))</x:f>
      </x:c>
    </x:row>
    <x:row r="33">
      <x:c r="A33" s="75" t="str">
        <x:v>P003</x:v>
      </x:c>
      <x:c r="B33" s="76" t="n">
        <x:v>8</x:v>
      </x:c>
      <x:c r="C33" s="76" t="str">
        <x:v>我觉得这个系统使用起来很笨重。</x:v>
      </x:c>
      <x:c r="D33" s="79"/>
      <x:c r="E33" s="96" t="str">
        <x:f>IF(D33="","",IF(MOD(B33,2)=1,D33-1,5-D33))</x:f>
      </x:c>
    </x:row>
    <x:row r="34">
      <x:c r="A34" s="75" t="str">
        <x:v>P003</x:v>
      </x:c>
      <x:c r="B34" s="76" t="n">
        <x:v>9</x:v>
      </x:c>
      <x:c r="C34" s="76" t="str">
        <x:v>我使用这个系统时很有信心。</x:v>
      </x:c>
      <x:c r="D34" s="79"/>
      <x:c r="E34" s="96" t="str">
        <x:f>IF(D34="","",IF(MOD(B34,2)=1,D34-1,5-D34))</x:f>
      </x:c>
    </x:row>
    <x:row r="35">
      <x:c r="A35" s="75" t="str">
        <x:v>P003</x:v>
      </x:c>
      <x:c r="B35" s="76" t="n">
        <x:v>10</x:v>
      </x:c>
      <x:c r="C35" s="76" t="str">
        <x:v>在开始使用前，我需要学习很多东西。</x:v>
      </x:c>
      <x:c r="D35" s="79"/>
      <x:c r="E35" s="96" t="str">
        <x:f>IF(D35="","",IF(MOD(B35,2)=1,D35-1,5-D35))</x:f>
      </x:c>
    </x:row>
    <x:row r="36">
      <x:c r="A36" s="75" t="str">
        <x:v>P004</x:v>
      </x:c>
      <x:c r="B36" s="76" t="n">
        <x:v>1</x:v>
      </x:c>
      <x:c r="C36" s="76" t="str">
        <x:v>我愿意经常使用这个系统。</x:v>
      </x:c>
      <x:c r="D36" s="79"/>
      <x:c r="E36" s="96" t="str">
        <x:f>IF(D36="","",IF(MOD(B36,2)=1,D36-1,5-D36))</x:f>
      </x:c>
    </x:row>
    <x:row r="37">
      <x:c r="A37" s="75" t="str">
        <x:v>P004</x:v>
      </x:c>
      <x:c r="B37" s="76" t="n">
        <x:v>2</x:v>
      </x:c>
      <x:c r="C37" s="76" t="str">
        <x:v>我觉得这个系统不必要地复杂。</x:v>
      </x:c>
      <x:c r="D37" s="79"/>
      <x:c r="E37" s="96" t="str">
        <x:f>IF(D37="","",IF(MOD(B37,2)=1,D37-1,5-D37))</x:f>
      </x:c>
    </x:row>
    <x:row r="38">
      <x:c r="A38" s="75" t="str">
        <x:v>P004</x:v>
      </x:c>
      <x:c r="B38" s="76" t="n">
        <x:v>3</x:v>
      </x:c>
      <x:c r="C38" s="76" t="str">
        <x:v>我觉得这个系统容易使用。</x:v>
      </x:c>
      <x:c r="D38" s="79"/>
      <x:c r="E38" s="96" t="str">
        <x:f>IF(D38="","",IF(MOD(B38,2)=1,D38-1,5-D38))</x:f>
      </x:c>
    </x:row>
    <x:row r="39">
      <x:c r="A39" s="75" t="str">
        <x:v>P004</x:v>
      </x:c>
      <x:c r="B39" s="76" t="n">
        <x:v>4</x:v>
      </x:c>
      <x:c r="C39" s="76" t="str">
        <x:v>我需要技术人员帮助才能使用这个系统。</x:v>
      </x:c>
      <x:c r="D39" s="79"/>
      <x:c r="E39" s="96" t="str">
        <x:f>IF(D39="","",IF(MOD(B39,2)=1,D39-1,5-D39))</x:f>
      </x:c>
    </x:row>
    <x:row r="40">
      <x:c r="A40" s="75" t="str">
        <x:v>P004</x:v>
      </x:c>
      <x:c r="B40" s="76" t="n">
        <x:v>5</x:v>
      </x:c>
      <x:c r="C40" s="76" t="str">
        <x:v>我觉得系统中的功能整合得很好。</x:v>
      </x:c>
      <x:c r="D40" s="79"/>
      <x:c r="E40" s="96" t="str">
        <x:f>IF(D40="","",IF(MOD(B40,2)=1,D40-1,5-D40))</x:f>
      </x:c>
    </x:row>
    <x:row r="41">
      <x:c r="A41" s="75" t="str">
        <x:v>P004</x:v>
      </x:c>
      <x:c r="B41" s="76" t="n">
        <x:v>6</x:v>
      </x:c>
      <x:c r="C41" s="76" t="str">
        <x:v>我觉得这个系统存在太多不一致。</x:v>
      </x:c>
      <x:c r="D41" s="79"/>
      <x:c r="E41" s="96" t="str">
        <x:f>IF(D41="","",IF(MOD(B41,2)=1,D41-1,5-D41))</x:f>
      </x:c>
    </x:row>
    <x:row r="42">
      <x:c r="A42" s="75" t="str">
        <x:v>P004</x:v>
      </x:c>
      <x:c r="B42" s="76" t="n">
        <x:v>7</x:v>
      </x:c>
      <x:c r="C42" s="76" t="str">
        <x:v>我认为大多数人能很快学会使用这个系统。</x:v>
      </x:c>
      <x:c r="D42" s="79"/>
      <x:c r="E42" s="96" t="str">
        <x:f>IF(D42="","",IF(MOD(B42,2)=1,D42-1,5-D42))</x:f>
      </x:c>
    </x:row>
    <x:row r="43">
      <x:c r="A43" s="75" t="str">
        <x:v>P004</x:v>
      </x:c>
      <x:c r="B43" s="76" t="n">
        <x:v>8</x:v>
      </x:c>
      <x:c r="C43" s="76" t="str">
        <x:v>我觉得这个系统使用起来很笨重。</x:v>
      </x:c>
      <x:c r="D43" s="79"/>
      <x:c r="E43" s="96" t="str">
        <x:f>IF(D43="","",IF(MOD(B43,2)=1,D43-1,5-D43))</x:f>
      </x:c>
    </x:row>
    <x:row r="44">
      <x:c r="A44" s="75" t="str">
        <x:v>P004</x:v>
      </x:c>
      <x:c r="B44" s="76" t="n">
        <x:v>9</x:v>
      </x:c>
      <x:c r="C44" s="76" t="str">
        <x:v>我使用这个系统时很有信心。</x:v>
      </x:c>
      <x:c r="D44" s="79"/>
      <x:c r="E44" s="96" t="str">
        <x:f>IF(D44="","",IF(MOD(B44,2)=1,D44-1,5-D44))</x:f>
      </x:c>
    </x:row>
    <x:row r="45">
      <x:c r="A45" s="75" t="str">
        <x:v>P004</x:v>
      </x:c>
      <x:c r="B45" s="76" t="n">
        <x:v>10</x:v>
      </x:c>
      <x:c r="C45" s="76" t="str">
        <x:v>在开始使用前，我需要学习很多东西。</x:v>
      </x:c>
      <x:c r="D45" s="79"/>
      <x:c r="E45" s="96" t="str">
        <x:f>IF(D45="","",IF(MOD(B45,2)=1,D45-1,5-D45))</x:f>
      </x:c>
    </x:row>
    <x:row r="46">
      <x:c r="A46" s="75" t="str">
        <x:v>P005</x:v>
      </x:c>
      <x:c r="B46" s="76" t="n">
        <x:v>1</x:v>
      </x:c>
      <x:c r="C46" s="76" t="str">
        <x:v>我愿意经常使用这个系统。</x:v>
      </x:c>
      <x:c r="D46" s="79"/>
      <x:c r="E46" s="96" t="str">
        <x:f>IF(D46="","",IF(MOD(B46,2)=1,D46-1,5-D46))</x:f>
      </x:c>
    </x:row>
    <x:row r="47">
      <x:c r="A47" s="75" t="str">
        <x:v>P005</x:v>
      </x:c>
      <x:c r="B47" s="76" t="n">
        <x:v>2</x:v>
      </x:c>
      <x:c r="C47" s="76" t="str">
        <x:v>我觉得这个系统不必要地复杂。</x:v>
      </x:c>
      <x:c r="D47" s="79"/>
      <x:c r="E47" s="96" t="str">
        <x:f>IF(D47="","",IF(MOD(B47,2)=1,D47-1,5-D47))</x:f>
      </x:c>
    </x:row>
    <x:row r="48">
      <x:c r="A48" s="75" t="str">
        <x:v>P005</x:v>
      </x:c>
      <x:c r="B48" s="76" t="n">
        <x:v>3</x:v>
      </x:c>
      <x:c r="C48" s="76" t="str">
        <x:v>我觉得这个系统容易使用。</x:v>
      </x:c>
      <x:c r="D48" s="79"/>
      <x:c r="E48" s="96" t="str">
        <x:f>IF(D48="","",IF(MOD(B48,2)=1,D48-1,5-D48))</x:f>
      </x:c>
    </x:row>
    <x:row r="49">
      <x:c r="A49" s="75" t="str">
        <x:v>P005</x:v>
      </x:c>
      <x:c r="B49" s="76" t="n">
        <x:v>4</x:v>
      </x:c>
      <x:c r="C49" s="76" t="str">
        <x:v>我需要技术人员帮助才能使用这个系统。</x:v>
      </x:c>
      <x:c r="D49" s="79"/>
      <x:c r="E49" s="96" t="str">
        <x:f>IF(D49="","",IF(MOD(B49,2)=1,D49-1,5-D49))</x:f>
      </x:c>
    </x:row>
    <x:row r="50">
      <x:c r="A50" s="75" t="str">
        <x:v>P005</x:v>
      </x:c>
      <x:c r="B50" s="76" t="n">
        <x:v>5</x:v>
      </x:c>
      <x:c r="C50" s="76" t="str">
        <x:v>我觉得系统中的功能整合得很好。</x:v>
      </x:c>
      <x:c r="D50" s="79"/>
      <x:c r="E50" s="96" t="str">
        <x:f>IF(D50="","",IF(MOD(B50,2)=1,D50-1,5-D50))</x:f>
      </x:c>
    </x:row>
    <x:row r="51">
      <x:c r="A51" s="75" t="str">
        <x:v>P005</x:v>
      </x:c>
      <x:c r="B51" s="76" t="n">
        <x:v>6</x:v>
      </x:c>
      <x:c r="C51" s="76" t="str">
        <x:v>我觉得这个系统存在太多不一致。</x:v>
      </x:c>
      <x:c r="D51" s="79"/>
      <x:c r="E51" s="96" t="str">
        <x:f>IF(D51="","",IF(MOD(B51,2)=1,D51-1,5-D51))</x:f>
      </x:c>
    </x:row>
    <x:row r="52">
      <x:c r="A52" s="75" t="str">
        <x:v>P005</x:v>
      </x:c>
      <x:c r="B52" s="76" t="n">
        <x:v>7</x:v>
      </x:c>
      <x:c r="C52" s="76" t="str">
        <x:v>我认为大多数人能很快学会使用这个系统。</x:v>
      </x:c>
      <x:c r="D52" s="79"/>
      <x:c r="E52" s="96" t="str">
        <x:f>IF(D52="","",IF(MOD(B52,2)=1,D52-1,5-D52))</x:f>
      </x:c>
    </x:row>
    <x:row r="53">
      <x:c r="A53" s="75" t="str">
        <x:v>P005</x:v>
      </x:c>
      <x:c r="B53" s="76" t="n">
        <x:v>8</x:v>
      </x:c>
      <x:c r="C53" s="76" t="str">
        <x:v>我觉得这个系统使用起来很笨重。</x:v>
      </x:c>
      <x:c r="D53" s="79"/>
      <x:c r="E53" s="96" t="str">
        <x:f>IF(D53="","",IF(MOD(B53,2)=1,D53-1,5-D53))</x:f>
      </x:c>
    </x:row>
    <x:row r="54">
      <x:c r="A54" s="75" t="str">
        <x:v>P005</x:v>
      </x:c>
      <x:c r="B54" s="76" t="n">
        <x:v>9</x:v>
      </x:c>
      <x:c r="C54" s="76" t="str">
        <x:v>我使用这个系统时很有信心。</x:v>
      </x:c>
      <x:c r="D54" s="79"/>
      <x:c r="E54" s="96" t="str">
        <x:f>IF(D54="","",IF(MOD(B54,2)=1,D54-1,5-D54))</x:f>
      </x:c>
    </x:row>
    <x:row r="55">
      <x:c r="A55" s="81" t="str">
        <x:v>P005</x:v>
      </x:c>
      <x:c r="B55" s="82" t="n">
        <x:v>10</x:v>
      </x:c>
      <x:c r="C55" s="82" t="str">
        <x:v>在开始使用前，我需要学习很多东西。</x:v>
      </x:c>
      <x:c r="D55" s="85"/>
      <x:c r="E55" s="97" t="str">
        <x:f>IF(D55="","",IF(MOD(B55,2)=1,D55-1,5-D55))</x:f>
      </x:c>
    </x:row>
  </x:sheetData>
  <x:mergeCells>
    <x:mergeCell ref="A1:E2"/>
    <x:mergeCell ref="A3:E3"/>
  </x:mergeCells>
  <x:dataValidations count="1">
    <x:dataValidation type="whole" operator="between" sqref="D6:D55">
      <x:formula1>1</x:formula1>
      <x:formula2>5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12" hidden="0" customWidth="1"/>
  </x:cols>
  <x:sheetData>
    <x:row r="1" ht="31" customHeight="1">
      <x:c r="A1" s="4" t="str">
        <x:v>真实人员证据签署</x:v>
      </x:c>
    </x:row>
    <x:row r="2" ht="31" customHeight="1"/>
    <x:row r="3">
      <x:c r="A3" s="101" t="str">
        <x:v>签名/确认必须由真实参与者和主持人现场完成。自动生成、代签或缺少参与者确认不能作为通过证据。</x:v>
      </x:c>
    </x:row>
    <x:row r="5">
      <x:c r="A5" s="14" t="str">
        <x:v>参与者</x:v>
      </x:c>
      <x:c r="B5" s="15" t="str">
        <x:v>参与者签名/确认</x:v>
      </x:c>
      <x:c r="C5" s="15" t="str">
        <x:v>主持人签名/确认</x:v>
      </x:c>
      <x:c r="D5" s="15" t="str">
        <x:v>签署日期</x:v>
      </x:c>
      <x:c r="E5" s="15" t="str">
        <x:v>同意匿名使用记录</x:v>
      </x:c>
      <x:c r="F5" s="15" t="str">
        <x:v>确认未修改 R 代码</x:v>
      </x:c>
      <x:c r="G5" s="15" t="str">
        <x:v>确认未覆盖原始文件</x:v>
      </x:c>
      <x:c r="H5" s="16" t="str">
        <x:v>签署完整</x:v>
      </x:c>
    </x:row>
    <x:row r="6">
      <x:c r="A6" s="17" t="str">
        <x:v>P001</x:v>
      </x:c>
      <x:c r="B6" s="58"/>
      <x:c r="C6" s="58"/>
      <x:c r="D6" s="57"/>
      <x:c r="E6" s="58"/>
      <x:c r="F6" s="58"/>
      <x:c r="G6" s="58"/>
      <x:c r="H6" s="19" t="n">
        <x:f>IF(AND(B6&lt;&gt;"",C6&lt;&gt;"",D6&lt;&gt;"",E6="是",F6="是",G6="是"),1,0)</x:f>
        <x:v>0</x:v>
      </x:c>
    </x:row>
    <x:row r="7">
      <x:c r="A7" s="17" t="str">
        <x:v>P002</x:v>
      </x:c>
      <x:c r="B7" s="58"/>
      <x:c r="C7" s="58"/>
      <x:c r="D7" s="57"/>
      <x:c r="E7" s="58"/>
      <x:c r="F7" s="58"/>
      <x:c r="G7" s="58"/>
      <x:c r="H7" s="19" t="n">
        <x:f>IF(AND(B7&lt;&gt;"",C7&lt;&gt;"",D7&lt;&gt;"",E7="是",F7="是",G7="是"),1,0)</x:f>
        <x:v>0</x:v>
      </x:c>
    </x:row>
    <x:row r="8">
      <x:c r="A8" s="17" t="str">
        <x:v>P003</x:v>
      </x:c>
      <x:c r="B8" s="58"/>
      <x:c r="C8" s="58"/>
      <x:c r="D8" s="57"/>
      <x:c r="E8" s="58"/>
      <x:c r="F8" s="58"/>
      <x:c r="G8" s="58"/>
      <x:c r="H8" s="19" t="n">
        <x:f>IF(AND(B8&lt;&gt;"",C8&lt;&gt;"",D8&lt;&gt;"",E8="是",F8="是",G8="是"),1,0)</x:f>
        <x:v>0</x:v>
      </x:c>
    </x:row>
    <x:row r="9">
      <x:c r="A9" s="17" t="str">
        <x:v>P004</x:v>
      </x:c>
      <x:c r="B9" s="58"/>
      <x:c r="C9" s="58"/>
      <x:c r="D9" s="57"/>
      <x:c r="E9" s="58"/>
      <x:c r="F9" s="58"/>
      <x:c r="G9" s="58"/>
      <x:c r="H9" s="19" t="n">
        <x:f>IF(AND(B9&lt;&gt;"",C9&lt;&gt;"",D9&lt;&gt;"",E9="是",F9="是",G9="是"),1,0)</x:f>
        <x:v>0</x:v>
      </x:c>
    </x:row>
    <x:row r="10">
      <x:c r="A10" s="23" t="str">
        <x:v>P005</x:v>
      </x:c>
      <x:c r="B10" s="62"/>
      <x:c r="C10" s="62"/>
      <x:c r="D10" s="61"/>
      <x:c r="E10" s="62"/>
      <x:c r="F10" s="62"/>
      <x:c r="G10" s="62"/>
      <x:c r="H10" s="25" t="n">
        <x:f>IF(AND(B10&lt;&gt;"",C10&lt;&gt;"",D10&lt;&gt;"",E10="是",F10="是",G10="是"),1,0)</x:f>
        <x:v>0</x:v>
      </x:c>
    </x:row>
  </x:sheetData>
  <x:mergeCells>
    <x:mergeCell ref="A1:H2"/>
    <x:mergeCell ref="A3:H3"/>
  </x:mergeCells>
  <x:dataValidations count="3">
    <x:dataValidation type="list" sqref="E6:E10">
      <x:formula1>"是,否"</x:formula1>
    </x:dataValidation>
    <x:dataValidation type="list" sqref="F6:F10">
      <x:formula1>"是,否"</x:formula1>
    </x:dataValidation>
    <x:dataValidation type="list" sqref="G6:G10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1" customHeight="1">
      <x:c r="A1" s="4" t="str">
        <x:v>DCC 1.2.0 工作人员验收评分摘要</x:v>
      </x:c>
    </x:row>
    <x:row r="2" ht="31" customHeight="1"/>
    <x:row r="4">
      <x:c r="A4" s="14" t="str">
        <x:v>项目指标</x:v>
      </x:c>
      <x:c r="B4" s="15" t="str">
        <x:v>结果</x:v>
      </x:c>
      <x:c r="C4" s="15" t="str">
        <x:v>研究门槛</x:v>
      </x:c>
      <x:c r="D4" s="16" t="str">
        <x:v>状态</x:v>
      </x:c>
    </x:row>
    <x:row r="5">
      <x:c r="A5" s="17" t="str">
        <x:v>有效参与者</x:v>
      </x:c>
      <x:c r="B5" s="18" t="n">
        <x:f>SUM(H13:H17)</x:f>
        <x:v>0</x:v>
      </x:c>
      <x:c r="C5" s="18" t="n">
        <x:v>1</x:v>
      </x:c>
      <x:c r="D5" s="19" t="str">
        <x:f>IF(B5&gt;=C5,"达到","未达到")</x:f>
        <x:v>未达到</x:v>
      </x:c>
    </x:row>
    <x:row r="6">
      <x:c r="A6" s="17" t="str">
        <x:v>总体完成率</x:v>
      </x:c>
      <x:c r="B6" s="106" t="n">
        <x:f>IF(B5=0,0,COUNTIFS(B13:B17,7,H13:H17,1)/B5)</x:f>
        <x:v>0</x:v>
      </x:c>
      <x:c r="C6" s="106" t="n">
        <x:v>0.8</x:v>
      </x:c>
      <x:c r="D6" s="19" t="str">
        <x:f>IF(B6&gt;=C6,"达到","未达到")</x:f>
        <x:v>未达到</x:v>
      </x:c>
    </x:row>
    <x:row r="7">
      <x:c r="A7" s="17" t="str">
        <x:v>区分正确率</x:v>
      </x:c>
      <x:c r="B7" s="106" t="n">
        <x:f>IF(B5=0,0,SUM(D13:D17)/B5)</x:f>
        <x:v>0</x:v>
      </x:c>
      <x:c r="C7" s="106" t="n">
        <x:v>0.8</x:v>
      </x:c>
      <x:c r="D7" s="19" t="str">
        <x:f>IF(B7&gt;=C7,"达到","未达到")</x:f>
        <x:v>未达到</x:v>
      </x:c>
    </x:row>
    <x:row r="8">
      <x:c r="A8" s="17" t="str">
        <x:v>SUS 中位数</x:v>
      </x:c>
      <x:c r="B8" s="18" t="n">
        <x:f>IF(B5=0,0,MEDIAN(E13:E17))</x:f>
        <x:v>0</x:v>
      </x:c>
      <x:c r="C8" s="18" t="n">
        <x:v>75</x:v>
      </x:c>
      <x:c r="D8" s="19" t="str">
        <x:f>IF(B8&gt;=C8,"达到","未达到")</x:f>
        <x:v>未达到</x:v>
      </x:c>
    </x:row>
    <x:row r="9">
      <x:c r="A9" s="17" t="str">
        <x:v>代码编辑总数</x:v>
      </x:c>
      <x:c r="B9" s="18" t="n">
        <x:f>SUM(F13:F17)</x:f>
        <x:v>0</x:v>
      </x:c>
      <x:c r="C9" s="18" t="n">
        <x:v>0</x:v>
      </x:c>
      <x:c r="D9" s="19" t="str">
        <x:f>IF(B9&gt;=C9,"达到","未达到")</x:f>
        <x:v>达到</x:v>
      </x:c>
    </x:row>
    <x:row r="10">
      <x:c r="A10" s="23" t="str">
        <x:v>原始文件覆盖总数</x:v>
      </x:c>
      <x:c r="B10" s="24" t="n">
        <x:f>SUM(G13:G17)</x:f>
        <x:v>0</x:v>
      </x:c>
      <x:c r="C10" s="24" t="n">
        <x:v>0</x:v>
      </x:c>
      <x:c r="D10" s="25" t="str">
        <x:f>IF(B10&gt;=C10,"达到","未达到")</x:f>
        <x:v>达到</x:v>
      </x:c>
    </x:row>
    <x:row r="12">
      <x:c r="A12" s="14" t="str">
        <x:v>参与者</x:v>
      </x:c>
      <x:c r="B12" s="15" t="str">
        <x:v>完成场景</x:v>
      </x:c>
      <x:c r="C12" s="15" t="str">
        <x:v>总用时（分钟）</x:v>
      </x:c>
      <x:c r="D12" s="15" t="str">
        <x:v>区分正确率</x:v>
      </x:c>
      <x:c r="E12" s="15" t="str">
        <x:v>SUS</x:v>
      </x:c>
      <x:c r="F12" s="15" t="str">
        <x:v>代码编辑</x:v>
      </x:c>
      <x:c r="G12" s="15" t="str">
        <x:v>原始覆盖</x:v>
      </x:c>
      <x:c r="H12" s="15" t="str">
        <x:v>记录有效</x:v>
      </x:c>
      <x:c r="I12" s="16" t="str">
        <x:v>个人通过</x:v>
      </x:c>
    </x:row>
    <x:row r="13">
      <x:c r="A13" s="17" t="str">
        <x:v>P001</x:v>
      </x:c>
      <x:c r="B13" s="18" t="n">
        <x:f>COUNTIFS('场景记录'!$A$6:$A$40,A13,'场景记录'!$G$6:$G$40,"完成")</x:f>
        <x:v>0</x:v>
      </x:c>
      <x:c r="C13" s="18" t="n">
        <x:f>SUMIFS('场景记录'!$F$6:$F$40,'场景记录'!$A$6:$A$40,A13)</x:f>
        <x:v>0</x:v>
      </x:c>
      <x:c r="D13" s="106" t="str">
        <x:f>IF(H13=1,SUMIFS('区分测试'!$F$6:$F$25,'区分测试'!$A$6:$A$25,A13)/4,"")</x:f>
      </x:c>
      <x:c r="E13" s="18" t="str">
        <x:f>IF(H13=1,SUMIFS('SUS问卷'!$E$6:$E$55,'SUS问卷'!$A$6:$A$55,A13)*2.5,"")</x:f>
      </x:c>
      <x:c r="F13" s="18" t="n">
        <x:f>SUMIFS('场景记录'!$I$6:$I$40,'场景记录'!$A$6:$A$40,A13)</x:f>
        <x:v>0</x:v>
      </x:c>
      <x:c r="G13" s="18" t="n">
        <x:f>SUMIFS('场景记录'!$J$6:$J$40,'场景记录'!$A$6:$A$40,A13)</x:f>
        <x:v>0</x:v>
      </x:c>
      <x:c r="H13" s="18" t="n">
        <x:f>IF(AND('参与者'!J6=1,'签署'!H6=1),1,0)</x:f>
        <x:v>0</x:v>
      </x:c>
      <x:c r="I13" s="19" t="n">
        <x:f>IF(AND(B13=7,C13&lt;=30,D13&gt;=0.8,E13&gt;=75,F13=0,G13=0,H13=1),1,0)</x:f>
        <x:v>0</x:v>
      </x:c>
    </x:row>
    <x:row r="14">
      <x:c r="A14" s="17" t="str">
        <x:v>P002</x:v>
      </x:c>
      <x:c r="B14" s="18" t="n">
        <x:f>COUNTIFS('场景记录'!$A$6:$A$40,A14,'场景记录'!$G$6:$G$40,"完成")</x:f>
        <x:v>0</x:v>
      </x:c>
      <x:c r="C14" s="18" t="n">
        <x:f>SUMIFS('场景记录'!$F$6:$F$40,'场景记录'!$A$6:$A$40,A14)</x:f>
        <x:v>0</x:v>
      </x:c>
      <x:c r="D14" s="106" t="str">
        <x:f>IF(H14=1,SUMIFS('区分测试'!$F$6:$F$25,'区分测试'!$A$6:$A$25,A14)/4,"")</x:f>
      </x:c>
      <x:c r="E14" s="18" t="str">
        <x:f>IF(H14=1,SUMIFS('SUS问卷'!$E$6:$E$55,'SUS问卷'!$A$6:$A$55,A14)*2.5,"")</x:f>
      </x:c>
      <x:c r="F14" s="18" t="n">
        <x:f>SUMIFS('场景记录'!$I$6:$I$40,'场景记录'!$A$6:$A$40,A14)</x:f>
        <x:v>0</x:v>
      </x:c>
      <x:c r="G14" s="18" t="n">
        <x:f>SUMIFS('场景记录'!$J$6:$J$40,'场景记录'!$A$6:$A$40,A14)</x:f>
        <x:v>0</x:v>
      </x:c>
      <x:c r="H14" s="18" t="n">
        <x:f>IF(AND('参与者'!J7=1,'签署'!H7=1),1,0)</x:f>
        <x:v>0</x:v>
      </x:c>
      <x:c r="I14" s="19" t="n">
        <x:f>IF(AND(B14=7,C14&lt;=30,D14&gt;=0.8,E14&gt;=75,F14=0,G14=0,H14=1),1,0)</x:f>
        <x:v>0</x:v>
      </x:c>
    </x:row>
    <x:row r="15">
      <x:c r="A15" s="17" t="str">
        <x:v>P003</x:v>
      </x:c>
      <x:c r="B15" s="18" t="n">
        <x:f>COUNTIFS('场景记录'!$A$6:$A$40,A15,'场景记录'!$G$6:$G$40,"完成")</x:f>
        <x:v>0</x:v>
      </x:c>
      <x:c r="C15" s="18" t="n">
        <x:f>SUMIFS('场景记录'!$F$6:$F$40,'场景记录'!$A$6:$A$40,A15)</x:f>
        <x:v>0</x:v>
      </x:c>
      <x:c r="D15" s="106" t="str">
        <x:f>IF(H15=1,SUMIFS('区分测试'!$F$6:$F$25,'区分测试'!$A$6:$A$25,A15)/4,"")</x:f>
      </x:c>
      <x:c r="E15" s="18" t="str">
        <x:f>IF(H15=1,SUMIFS('SUS问卷'!$E$6:$E$55,'SUS问卷'!$A$6:$A$55,A15)*2.5,"")</x:f>
      </x:c>
      <x:c r="F15" s="18" t="n">
        <x:f>SUMIFS('场景记录'!$I$6:$I$40,'场景记录'!$A$6:$A$40,A15)</x:f>
        <x:v>0</x:v>
      </x:c>
      <x:c r="G15" s="18" t="n">
        <x:f>SUMIFS('场景记录'!$J$6:$J$40,'场景记录'!$A$6:$A$40,A15)</x:f>
        <x:v>0</x:v>
      </x:c>
      <x:c r="H15" s="18" t="n">
        <x:f>IF(AND('参与者'!J8=1,'签署'!H8=1),1,0)</x:f>
        <x:v>0</x:v>
      </x:c>
      <x:c r="I15" s="19" t="n">
        <x:f>IF(AND(B15=7,C15&lt;=30,D15&gt;=0.8,E15&gt;=75,F15=0,G15=0,H15=1),1,0)</x:f>
        <x:v>0</x:v>
      </x:c>
    </x:row>
    <x:row r="16">
      <x:c r="A16" s="17" t="str">
        <x:v>P004</x:v>
      </x:c>
      <x:c r="B16" s="18" t="n">
        <x:f>COUNTIFS('场景记录'!$A$6:$A$40,A16,'场景记录'!$G$6:$G$40,"完成")</x:f>
        <x:v>0</x:v>
      </x:c>
      <x:c r="C16" s="18" t="n">
        <x:f>SUMIFS('场景记录'!$F$6:$F$40,'场景记录'!$A$6:$A$40,A16)</x:f>
        <x:v>0</x:v>
      </x:c>
      <x:c r="D16" s="106" t="str">
        <x:f>IF(H16=1,SUMIFS('区分测试'!$F$6:$F$25,'区分测试'!$A$6:$A$25,A16)/4,"")</x:f>
      </x:c>
      <x:c r="E16" s="18" t="str">
        <x:f>IF(H16=1,SUMIFS('SUS问卷'!$E$6:$E$55,'SUS问卷'!$A$6:$A$55,A16)*2.5,"")</x:f>
      </x:c>
      <x:c r="F16" s="18" t="n">
        <x:f>SUMIFS('场景记录'!$I$6:$I$40,'场景记录'!$A$6:$A$40,A16)</x:f>
        <x:v>0</x:v>
      </x:c>
      <x:c r="G16" s="18" t="n">
        <x:f>SUMIFS('场景记录'!$J$6:$J$40,'场景记录'!$A$6:$A$40,A16)</x:f>
        <x:v>0</x:v>
      </x:c>
      <x:c r="H16" s="18" t="n">
        <x:f>IF(AND('参与者'!J9=1,'签署'!H9=1),1,0)</x:f>
        <x:v>0</x:v>
      </x:c>
      <x:c r="I16" s="19" t="n">
        <x:f>IF(AND(B16=7,C16&lt;=30,D16&gt;=0.8,E16&gt;=75,F16=0,G16=0,H16=1),1,0)</x:f>
        <x:v>0</x:v>
      </x:c>
    </x:row>
    <x:row r="17">
      <x:c r="A17" s="23" t="str">
        <x:v>P005</x:v>
      </x:c>
      <x:c r="B17" s="24" t="n">
        <x:f>COUNTIFS('场景记录'!$A$6:$A$40,A17,'场景记录'!$G$6:$G$40,"完成")</x:f>
        <x:v>0</x:v>
      </x:c>
      <x:c r="C17" s="24" t="n">
        <x:f>SUMIFS('场景记录'!$F$6:$F$40,'场景记录'!$A$6:$A$40,A17)</x:f>
        <x:v>0</x:v>
      </x:c>
      <x:c r="D17" s="107" t="str">
        <x:f>IF(H17=1,SUMIFS('区分测试'!$F$6:$F$25,'区分测试'!$A$6:$A$25,A17)/4,"")</x:f>
      </x:c>
      <x:c r="E17" s="24" t="str">
        <x:f>IF(H17=1,SUMIFS('SUS问卷'!$E$6:$E$55,'SUS问卷'!$A$6:$A$55,A17)*2.5,"")</x:f>
      </x:c>
      <x:c r="F17" s="24" t="n">
        <x:f>SUMIFS('场景记录'!$I$6:$I$40,'场景记录'!$A$6:$A$40,A17)</x:f>
        <x:v>0</x:v>
      </x:c>
      <x:c r="G17" s="24" t="n">
        <x:f>SUMIFS('场景记录'!$J$6:$J$40,'场景记录'!$A$6:$A$40,A17)</x:f>
        <x:v>0</x:v>
      </x:c>
      <x:c r="H17" s="24" t="n">
        <x:f>IF(AND('参与者'!J10=1,'签署'!H10=1),1,0)</x:f>
        <x:v>0</x:v>
      </x:c>
      <x:c r="I17" s="25" t="n">
        <x:f>IF(AND(B17=7,C17&lt;=30,D17&gt;=0.8,E17&gt;=75,F17=0,G17=0,H17=1),1,0)</x:f>
        <x:v>0</x:v>
      </x:c>
    </x:row>
    <x:row r="20">
      <x:c r="A20" s="10" t="str">
        <x:v>工作人员流程状态</x:v>
      </x:c>
      <x:c r="B20"/>
      <x:c r="C20"/>
      <x:c r="D20"/>
      <x:c r="E20" s="109" t="str">
        <x:f>IF(B5&lt;1,"facilitator_required",IF(AND(B6&gt;=0.8,B7&gt;=0.8,B8&gt;=75,B9=0,B10=0),"pass","fail"))</x:f>
        <x:v>facilitator_required</x:v>
      </x:c>
    </x:row>
    <x:row r="21">
      <x:c r="A21" s="111" t="str">
        <x:v>此工作簿不包含真实人员结果。参与者、主持人、签名、日期、时间、答案和评分均须在真实测试中填写；发布负责人须复核原始证据和 SHA-256。</x:v>
      </x:c>
      <x:c r="B21" t="str">
        <x:v>至少 1 份有效签署记录且所有总体门槛达到时显示 pass。当前空白模板保持 facilitator_required。此状态仅用于易用性改进，不阻断 DCC 包发布。</x:v>
      </x:c>
      <x:c r="C21"/>
      <x:c r="D21"/>
    </x:row>
  </x:sheetData>
  <x:mergeCells>
    <x:mergeCell ref="A1:I2"/>
    <x:mergeCell ref="A20:D20"/>
    <x:mergeCell ref="E20:I20"/>
    <x:mergeCell ref="A21:I22"/>
  </x:mergeCells>
  <x:pageMargins left="0.7" right="0.7" top="0.75" bottom="0.75" header="0.3" footer="0.3"/>
</x:worksheet>
</file>