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34b876518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05add2eecf24eff"/>
    <x:sheet xmlns:r="http://schemas.openxmlformats.org/officeDocument/2006/relationships" name="场景记录" sheetId="2" r:id="Rdad2ea3235c543e4"/>
    <x:sheet xmlns:r="http://schemas.openxmlformats.org/officeDocument/2006/relationships" name="区分测试" sheetId="3" r:id="R28a8d333785b4113"/>
    <x:sheet xmlns:r="http://schemas.openxmlformats.org/officeDocument/2006/relationships" name="SUS问卷" sheetId="4" r:id="Rdb2d3925e51e4e49"/>
    <x:sheet xmlns:r="http://schemas.openxmlformats.org/officeDocument/2006/relationships" name="签署" sheetId="5" r:id="R85ca0d8007e54136"/>
    <x:sheet xmlns:r="http://schemas.openxmlformats.org/officeDocument/2006/relationships" name="评分摘要" sheetId="6" r:id="Rceb7b5d3ef2e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hh:mm"/>
    <x:numFmt numFmtId="201" formatCode="0.0"/>
    <x:numFmt numFmtId="202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1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4" xfId="0" applyNumberFormat="1" applyFont="1" applyFill="1" applyBorder="1"/>
    <x:xf numFmtId="200" fontId="0" fillId="5" borderId="6" xfId="0" applyNumberFormat="1" applyFont="1" applyFill="1" applyBorder="1"/>
    <x:xf numFmtId="200" fontId="0" fillId="5" borderId="7" xfId="0" applyNumberFormat="1" applyFont="1" applyFill="1" applyBorder="1"/>
    <x:xf numFmtId="200" fontId="0" fillId="5" borderId="8" xfId="0" applyNumberFormat="1" applyFont="1" applyFill="1" applyBorder="1"/>
    <x:xf numFmtId="200" fontId="0" fillId="5" borderId="9" xfId="0" applyNumberFormat="1" applyFont="1" applyFill="1" applyBorder="1"/>
    <x:xf numFmtId="200" fontId="0" fillId="5" borderId="11" xfId="0" applyNumberFormat="1" applyFont="1" applyFill="1" applyBorder="1"/>
    <x:xf numFmtId="200" fontId="0" fillId="5" borderId="4" xfId="0" applyNumberFormat="1" applyFont="1" applyFill="1" applyBorder="1" applyAlignment="1">
      <x:alignment wrapText="1"/>
    </x:xf>
    <x:xf numFmtId="200" fontId="0" fillId="5" borderId="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5" borderId="7" xfId="0" applyNumberFormat="1" applyFont="1" applyFill="1" applyBorder="1" applyAlignment="1">
      <x:alignment wrapText="1"/>
    </x:xf>
    <x:xf numFmtId="200" fontId="0" fillId="5" borderId="8" xfId="0" applyNumberFormat="1" applyFont="1" applyFill="1" applyBorder="1" applyAlignment="1">
      <x:alignment wrapText="1"/>
    </x:xf>
    <x:xf numFmtId="200" fontId="0" fillId="5" borderId="9" xfId="0" applyNumberFormat="1" applyFont="1" applyFill="1" applyBorder="1" applyAlignment="1">
      <x:alignment wrapText="1"/>
    </x:xf>
    <x:xf numFmtId="20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202" fontId="0" fillId="0" borderId="0" xfId="0" applyNumberFormat="1" applyFont="1" applyFill="1" applyBorder="1"/>
    <x:xf numFmtId="202" fontId="0" fillId="4" borderId="0" xfId="0" applyNumberFormat="1" applyFont="1" applyFill="1" applyBorder="1"/>
    <x:xf numFmtId="0" fontId="3" fillId="4" borderId="0" xfId="0" applyNumberFormat="1" applyFont="1" applyFill="1" applyBorder="1"/>
    <x:xf numFmtId="202" fontId="3" fillId="4" borderId="0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201" fontId="3" fillId="4" borderId="17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34224a7c14953" /><Relationship Type="http://schemas.openxmlformats.org/officeDocument/2006/relationships/theme" Target="/xl/theme/theme1.xml" Id="R52578ee15d8546f5" /><Relationship Type="http://schemas.openxmlformats.org/officeDocument/2006/relationships/sharedStrings" Target="/xl/sharedStrings.xml" Id="Rf6176cf7ca0d4908" /><Relationship Type="http://schemas.openxmlformats.org/officeDocument/2006/relationships/worksheet" Target="/xl/worksheets/sheet1.xml" Id="Ra05add2eecf24eff" /><Relationship Type="http://schemas.openxmlformats.org/officeDocument/2006/relationships/worksheet" Target="/xl/worksheets/sheet2.xml" Id="Rdad2ea3235c543e4" /><Relationship Type="http://schemas.openxmlformats.org/officeDocument/2006/relationships/worksheet" Target="/xl/worksheets/sheet3.xml" Id="R28a8d333785b4113" /><Relationship Type="http://schemas.openxmlformats.org/officeDocument/2006/relationships/worksheet" Target="/xl/worksheets/sheet4.xml" Id="Rdb2d3925e51e4e49" /><Relationship Type="http://schemas.openxmlformats.org/officeDocument/2006/relationships/worksheet" Target="/xl/worksheets/sheet5.xml" Id="R85ca0d8007e54136" /><Relationship Type="http://schemas.openxmlformats.org/officeDocument/2006/relationships/worksheet" Target="/xl/worksheets/sheet6.xml" Id="Rceb7b5d3ef2e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22" t="str">
        <x:v>DCC 工作人员可用性验收记录（每名参与者一份）</x:v>
      </x:c>
      <x:c r="B1" s="22" t="str">
        <x:v>DCC 工作人员可用性验收记录（每名参与者一份）</x:v>
      </x:c>
      <x:c r="C1" s="22" t="str">
        <x:v>DCC 工作人员可用性验收记录（每名参与者一份）</x:v>
      </x:c>
      <x:c r="D1" s="22" t="str">
        <x:v>DCC 工作人员可用性验收记录（每名参与者一份）</x:v>
      </x:c>
      <x:c r="E1" s="22" t="str">
        <x:v>DCC 工作人员可用性验收记录（每名参与者一份）</x:v>
      </x:c>
      <x:c r="F1" s="22" t="str">
        <x:v>DCC 工作人员可用性验收记录（每名参与者一份）</x:v>
      </x:c>
    </x:row>
    <x:row r="2" ht="32" customHeight="1">
      <x:c r="A2" s="22" t="str">
        <x:v>DCC 工作人员可用性验收记录（每名参与者一份）</x:v>
      </x:c>
      <x:c r="B2" s="22" t="str">
        <x:v>DCC 工作人员可用性验收记录（每名参与者一份）</x:v>
      </x:c>
      <x:c r="C2" s="22" t="str">
        <x:v>DCC 工作人员可用性验收记录（每名参与者一份）</x:v>
      </x:c>
      <x:c r="D2" s="22" t="str">
        <x:v>DCC 工作人员可用性验收记录（每名参与者一份）</x:v>
      </x:c>
      <x:c r="E2" s="22" t="str">
        <x:v>DCC 工作人员可用性验收记录（每名参与者一份）</x:v>
      </x:c>
      <x:c r="F2" s="22" t="str">
        <x:v>DCC 工作人员可用性验收记录（每名参与者一份）</x:v>
      </x:c>
    </x:row>
    <x:row r="3">
      <x:c r="A3" s="23"/>
      <x:c r="B3" s="23"/>
      <x:c r="C3" s="23"/>
      <x:c r="D3" s="23"/>
      <x:c r="E3" s="23"/>
      <x:c r="F3" s="23"/>
    </x:row>
    <x:row r="4">
      <x:c r="A4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B4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C4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D4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E4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F4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</x:row>
    <x:row r="5">
      <x:c r="A5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B5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C5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D5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E5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F5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</x:row>
    <x:row r="6">
      <x:c r="A6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B6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C6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D6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E6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  <x:c r="F6" s="7" t="str">
        <x:v>用途：记录真实工作人员完成严格 Excel 项目、检查、preview、execute 和报告解释的过程。只填写黄色单元格；不要修改 R 代码、工作表名称、公式或机器字段。自动生成此表不等于人员验收通过。</x:v>
      </x:c>
    </x:row>
    <x:row r="7">
      <x:c r="A7" s="23"/>
      <x:c r="B7" s="23"/>
      <x:c r="C7" s="23"/>
      <x:c r="D7" s="23"/>
      <x:c r="E7" s="23"/>
      <x:c r="F7" s="23"/>
    </x:row>
    <x:row r="8">
      <x:c r="A8" s="24" t="str">
        <x:v>字段</x:v>
      </x:c>
      <x:c r="B8" s="25" t="str">
        <x:v>说明</x:v>
      </x:c>
      <x:c r="C8" s="25" t="str">
        <x:v>填写值</x:v>
      </x:c>
      <x:c r="D8" s="25"/>
      <x:c r="E8" s="25"/>
      <x:c r="F8" s="26"/>
    </x:row>
    <x:row r="9">
      <x:c r="A9" s="23" t="str">
        <x:v>参与者编号</x:v>
      </x:c>
      <x:c r="B9" s="23" t="str">
        <x:v>匿名但唯一，例如 P001</x:v>
      </x:c>
      <x:c r="C9" s="27"/>
      <x:c r="D9" s="28"/>
      <x:c r="E9" s="28"/>
      <x:c r="F9" s="29"/>
    </x:row>
    <x:row r="10">
      <x:c r="A10" s="23" t="str">
        <x:v>测试日期</x:v>
      </x:c>
      <x:c r="B10" s="23" t="str">
        <x:v>真实测试日期</x:v>
      </x:c>
      <x:c r="C10" s="30"/>
      <x:c r="D10" s="31"/>
      <x:c r="E10" s="31"/>
      <x:c r="F10" s="32"/>
    </x:row>
    <x:row r="11">
      <x:c r="A11" s="23" t="str">
        <x:v>主持人</x:v>
      </x:c>
      <x:c r="B11" s="23" t="str">
        <x:v>主持人姓名</x:v>
      </x:c>
      <x:c r="C11" s="30"/>
      <x:c r="D11" s="31"/>
      <x:c r="E11" s="31"/>
      <x:c r="F11" s="32"/>
    </x:row>
    <x:row r="12">
      <x:c r="A12" s="23" t="str">
        <x:v>DCC 版本</x:v>
      </x:c>
      <x:c r="B12" s="23" t="str">
        <x:v>实际测试版本</x:v>
      </x:c>
      <x:c r="C12" s="30"/>
      <x:c r="D12" s="31"/>
      <x:c r="E12" s="31"/>
      <x:c r="F12" s="32"/>
    </x:row>
    <x:row r="13">
      <x:c r="A13" s="23" t="str">
        <x:v>合成数据文件</x:v>
      </x:c>
      <x:c r="B13" s="23" t="str">
        <x:v>只允许使用合成数据</x:v>
      </x:c>
      <x:c r="C13" s="33"/>
      <x:c r="D13" s="34"/>
      <x:c r="E13" s="34"/>
      <x:c r="F13" s="35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完整性核对</x:v>
      </x:c>
      <x:c r="B15" s="25" t="str">
        <x:v>要求</x:v>
      </x:c>
      <x:c r="C15" s="25" t="str">
        <x:v>填写值</x:v>
      </x:c>
      <x:c r="D15" s="25"/>
      <x:c r="E15" s="25"/>
      <x:c r="F15" s="26"/>
    </x:row>
    <x:row r="16">
      <x:c r="A16" s="23" t="str">
        <x:v>原始文件 SHA-256（测试前）</x:v>
      </x:c>
      <x:c r="B16" s="23" t="str">
        <x:v>64 位十六进制</x:v>
      </x:c>
      <x:c r="C16" s="27"/>
      <x:c r="D16" s="28"/>
      <x:c r="E16" s="28"/>
      <x:c r="F16" s="29"/>
    </x:row>
    <x:row r="17">
      <x:c r="A17" s="23" t="str">
        <x:v>原始文件 SHA-256（测试后）</x:v>
      </x:c>
      <x:c r="B17" s="23" t="str">
        <x:v>必须与测试前一致</x:v>
      </x:c>
      <x:c r="C17" s="30"/>
      <x:c r="D17" s="31"/>
      <x:c r="E17" s="31"/>
      <x:c r="F17" s="32"/>
    </x:row>
    <x:row r="18">
      <x:c r="A18" s="23" t="str">
        <x:v>输出目录</x:v>
      </x:c>
      <x:c r="B18" s="23" t="str">
        <x:v>必须不同于原始数据目录</x:v>
      </x:c>
      <x:c r="C18" s="33"/>
      <x:c r="D18" s="34"/>
      <x:c r="E18" s="34"/>
      <x:c r="F18" s="35"/>
    </x:row>
    <x:row r="19">
      <x:c r="A19" s="23"/>
      <x:c r="B19" s="23"/>
      <x:c r="C19" s="23"/>
      <x:c r="D19" s="23"/>
      <x:c r="E19" s="23"/>
      <x:c r="F19" s="23"/>
    </x:row>
    <x:row r="20">
      <x:c r="A20" s="24" t="str">
        <x:v>严格规则</x:v>
      </x:c>
      <x:c r="B20" s="25"/>
      <x:c r="C20" s="25"/>
      <x:c r="D20" s="25"/>
      <x:c r="E20" s="25"/>
      <x:c r="F20" s="26"/>
    </x:row>
    <x:row r="21">
      <x:c r="A21" s="23" t="str">
        <x:v>1</x:v>
      </x:c>
      <x:c r="B21" s="23" t="str">
        <x:v>仅编辑黄色单元格。</x:v>
      </x:c>
      <x:c r="C21" s="23"/>
      <x:c r="D21" s="23"/>
      <x:c r="E21" s="23"/>
      <x:c r="F21" s="23"/>
    </x:row>
    <x:row r="22">
      <x:c r="A22" s="23" t="str">
        <x:v>2</x:v>
      </x:c>
      <x:c r="B22" s="23" t="str">
        <x:v>任何执行前必须先完成 validation 和 preview。</x:v>
      </x:c>
      <x:c r="C22" s="23"/>
      <x:c r="D22" s="23"/>
      <x:c r="E22" s="23"/>
      <x:c r="F22" s="23"/>
    </x:row>
    <x:row r="23">
      <x:c r="A23" s="23" t="str">
        <x:v>3</x:v>
      </x:c>
      <x:c r="B23" s="23" t="str">
        <x:v>不得覆盖原始数据，不得要求参与者编辑 R 代码。</x:v>
      </x:c>
      <x:c r="C23" s="23"/>
      <x:c r="D23" s="23"/>
      <x:c r="E23" s="23"/>
      <x:c r="F23" s="23"/>
    </x:row>
  </x:sheetData>
  <x:mergeCells>
    <x:mergeCell ref="A1:F2"/>
    <x:mergeCell ref="A4:F6"/>
    <x:mergeCell ref="C9:F9"/>
    <x:mergeCell ref="C10:F10"/>
    <x:mergeCell ref="C11:F11"/>
    <x:mergeCell ref="C12:F12"/>
    <x:mergeCell ref="C13:F13"/>
    <x:mergeCell ref="C16:F16"/>
    <x:mergeCell ref="C17:F17"/>
    <x:mergeCell ref="C18:F18"/>
    <x:mergeCell ref="A20:F20"/>
    <x:mergeCell ref="B21:F21"/>
    <x:mergeCell ref="B22:F22"/>
    <x:mergeCell ref="B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0" hidden="0" customWidth="1"/>
  </x:cols>
  <x:sheetData>
    <x:row r="1" ht="32" customHeight="1">
      <x:c r="A1" s="4" t="str">
        <x:v>场景记录 / Scenario log</x:v>
      </x:c>
      <x:c r="B1" s="4" t="str">
        <x:v>场景记录 / Scenario log</x:v>
      </x:c>
      <x:c r="C1" s="4" t="str">
        <x:v>场景记录 / Scenario log</x:v>
      </x:c>
      <x:c r="D1" s="4" t="str">
        <x:v>场景记录 / Scenario log</x:v>
      </x:c>
      <x:c r="E1" s="4" t="str">
        <x:v>场景记录 / Scenario log</x:v>
      </x:c>
      <x:c r="F1" s="4" t="str">
        <x:v>场景记录 / Scenario log</x:v>
      </x:c>
      <x:c r="G1" s="4" t="str">
        <x:v>场景记录 / Scenario log</x:v>
      </x:c>
      <x:c r="H1" s="4" t="str">
        <x:v>场景记录 / Scenario log</x:v>
      </x:c>
      <x:c r="I1" s="4" t="str">
        <x:v>场景记录 / Scenario log</x:v>
      </x:c>
      <x:c r="J1" s="4" t="str">
        <x:v>场景记录 / Scenario log</x:v>
      </x:c>
    </x:row>
    <x:row r="2" ht="32" customHeight="1">
      <x:c r="A2" s="4" t="str">
        <x:v>场景记录 / Scenario log</x:v>
      </x:c>
      <x:c r="B2" s="4" t="str">
        <x:v>场景记录 / Scenario log</x:v>
      </x:c>
      <x:c r="C2" s="4" t="str">
        <x:v>场景记录 / Scenario log</x:v>
      </x:c>
      <x:c r="D2" s="4" t="str">
        <x:v>场景记录 / Scenario log</x:v>
      </x:c>
      <x:c r="E2" s="4" t="str">
        <x:v>场景记录 / Scenario log</x:v>
      </x:c>
      <x:c r="F2" s="4" t="str">
        <x:v>场景记录 / Scenario log</x:v>
      </x:c>
      <x:c r="G2" s="4" t="str">
        <x:v>场景记录 / Scenario log</x:v>
      </x:c>
      <x:c r="H2" s="4" t="str">
        <x:v>场景记录 / Scenario log</x:v>
      </x:c>
      <x:c r="I2" s="4" t="str">
        <x:v>场景记录 / Scenario log</x:v>
      </x:c>
      <x:c r="J2" s="4" t="str">
        <x:v>场景记录 / Scenario log</x:v>
      </x:c>
    </x:row>
    <x:row r="3">
      <x:c r="A3" s="6" t="str">
        <x:v>时间必须填写为 Excel 时间值；状态、帮助次数、代码编辑和原始文件覆盖均为主持人现场记录。</x:v>
      </x:c>
      <x:c r="B3" s="6" t="str">
        <x:v>时间必须填写为 Excel 时间值；状态、帮助次数、代码编辑和原始文件覆盖均为主持人现场记录。</x:v>
      </x:c>
      <x:c r="C3" s="6" t="str">
        <x:v>时间必须填写为 Excel 时间值；状态、帮助次数、代码编辑和原始文件覆盖均为主持人现场记录。</x:v>
      </x:c>
      <x:c r="D3" s="6" t="str">
        <x:v>时间必须填写为 Excel 时间值；状态、帮助次数、代码编辑和原始文件覆盖均为主持人现场记录。</x:v>
      </x:c>
      <x:c r="E3" s="6" t="str">
        <x:v>时间必须填写为 Excel 时间值；状态、帮助次数、代码编辑和原始文件覆盖均为主持人现场记录。</x:v>
      </x:c>
      <x:c r="F3" s="6" t="str">
        <x:v>时间必须填写为 Excel 时间值；状态、帮助次数、代码编辑和原始文件覆盖均为主持人现场记录。</x:v>
      </x:c>
      <x:c r="G3" s="6" t="str">
        <x:v>时间必须填写为 Excel 时间值；状态、帮助次数、代码编辑和原始文件覆盖均为主持人现场记录。</x:v>
      </x:c>
      <x:c r="H3" s="6" t="str">
        <x:v>时间必须填写为 Excel 时间值；状态、帮助次数、代码编辑和原始文件覆盖均为主持人现场记录。</x:v>
      </x:c>
      <x:c r="I3" s="6" t="str">
        <x:v>时间必须填写为 Excel 时间值；状态、帮助次数、代码编辑和原始文件覆盖均为主持人现场记录。</x:v>
      </x:c>
      <x:c r="J3" s="6" t="str">
        <x:v>时间必须填写为 Excel 时间值；状态、帮助次数、代码编辑和原始文件覆盖均为主持人现场记录。</x:v>
      </x:c>
    </x:row>
    <x:row r="5">
      <x:c r="A5" s="24" t="str">
        <x:v>场景 ID</x:v>
      </x:c>
      <x:c r="B5" s="25" t="str">
        <x:v>任务</x:v>
      </x:c>
      <x:c r="C5" s="25" t="str">
        <x:v>开始</x:v>
      </x:c>
      <x:c r="D5" s="25" t="str">
        <x:v>结束</x:v>
      </x:c>
      <x:c r="E5" s="25" t="str">
        <x:v>用时（分钟）</x:v>
      </x:c>
      <x:c r="F5" s="25" t="str">
        <x:v>状态</x:v>
      </x:c>
      <x:c r="G5" s="25" t="str">
        <x:v>帮助次数</x:v>
      </x:c>
      <x:c r="H5" s="25" t="str">
        <x:v>代码编辑</x:v>
      </x:c>
      <x:c r="I5" s="25" t="str">
        <x:v>原始文件覆盖</x:v>
      </x:c>
      <x:c r="J5" s="26" t="str">
        <x:v>备注</x:v>
      </x:c>
    </x:row>
    <x:row r="6">
      <x:c r="A6" s="23" t="str">
        <x:v>obtain-template</x:v>
      </x:c>
      <x:c r="B6" s="23" t="str">
        <x:v>取得并打开严格模板</x:v>
      </x:c>
      <x:c r="C6" s="45"/>
      <x:c r="D6" s="46"/>
      <x:c r="E6" s="47" t="str">
        <x:f>IF(OR(C6="",D6=""),"",(D6-C6)*1440)</x:f>
      </x:c>
      <x:c r="F6" s="27" t="str">
        <x:v>未开始</x:v>
      </x:c>
      <x:c r="G6" s="28" t="n">
        <x:v>0</x:v>
      </x:c>
      <x:c r="H6" s="28" t="n">
        <x:v>0</x:v>
      </x:c>
      <x:c r="I6" s="28" t="n">
        <x:v>0</x:v>
      </x:c>
      <x:c r="J6" s="29"/>
    </x:row>
    <x:row r="7">
      <x:c r="A7" s="23" t="str">
        <x:v>complete-workbook</x:v>
      </x:c>
      <x:c r="B7" s="23" t="str">
        <x:v>只填允许单元格并完成项目设置</x:v>
      </x:c>
      <x:c r="C7" s="48"/>
      <x:c r="D7" s="49"/>
      <x:c r="E7" s="47" t="str">
        <x:f>IF(OR(C7="",D7=""),"",(D7-C7)*1440)</x:f>
      </x:c>
      <x:c r="F7" s="30" t="str">
        <x:v>未开始</x:v>
      </x:c>
      <x:c r="G7" s="31" t="n">
        <x:v>0</x:v>
      </x:c>
      <x:c r="H7" s="31" t="n">
        <x:v>0</x:v>
      </x:c>
      <x:c r="I7" s="31" t="n">
        <x:v>0</x:v>
      </x:c>
      <x:c r="J7" s="32"/>
    </x:row>
    <x:row r="8">
      <x:c r="A8" s="23" t="str">
        <x:v>correct-invalid-cell</x:v>
      </x:c>
      <x:c r="B8" s="23" t="str">
        <x:v>按稳定代码和单元格地址纠错</x:v>
      </x:c>
      <x:c r="C8" s="48"/>
      <x:c r="D8" s="49"/>
      <x:c r="E8" s="47" t="str">
        <x:f>IF(OR(C8="",D8=""),"",(D8-C8)*1440)</x:f>
      </x:c>
      <x:c r="F8" s="30" t="str">
        <x:v>未开始</x:v>
      </x:c>
      <x:c r="G8" s="31" t="n">
        <x:v>0</x:v>
      </x:c>
      <x:c r="H8" s="31" t="n">
        <x:v>0</x:v>
      </x:c>
      <x:c r="I8" s="31" t="n">
        <x:v>0</x:v>
      </x:c>
      <x:c r="J8" s="32"/>
    </x:row>
    <x:row r="9">
      <x:c r="A9" s="23" t="str">
        <x:v>run-check</x:v>
      </x:c>
      <x:c r="B9" s="23" t="str">
        <x:v>运行 dcc_check 并找到检查产物</x:v>
      </x:c>
      <x:c r="C9" s="48"/>
      <x:c r="D9" s="49"/>
      <x:c r="E9" s="47" t="str">
        <x:f>IF(OR(C9="",D9=""),"",(D9-C9)*1440)</x:f>
      </x:c>
      <x:c r="F9" s="30" t="str">
        <x:v>未开始</x:v>
      </x:c>
      <x:c r="G9" s="31" t="n">
        <x:v>0</x:v>
      </x:c>
      <x:c r="H9" s="31" t="n">
        <x:v>0</x:v>
      </x:c>
      <x:c r="I9" s="31" t="n">
        <x:v>0</x:v>
      </x:c>
      <x:c r="J9" s="32"/>
    </x:row>
    <x:row r="10">
      <x:c r="A10" s="23" t="str">
        <x:v>run-preview</x:v>
      </x:c>
      <x:c r="B10" s="23" t="str">
        <x:v>运行 preview 并解释不改变数据</x:v>
      </x:c>
      <x:c r="C10" s="48"/>
      <x:c r="D10" s="49"/>
      <x:c r="E10" s="47" t="str">
        <x:f>IF(OR(C10="",D10=""),"",(D10-C10)*1440)</x:f>
      </x:c>
      <x:c r="F10" s="30" t="str">
        <x:v>未开始</x:v>
      </x:c>
      <x:c r="G10" s="31" t="n">
        <x:v>0</x:v>
      </x:c>
      <x:c r="H10" s="31" t="n">
        <x:v>0</x:v>
      </x:c>
      <x:c r="I10" s="31" t="n">
        <x:v>0</x:v>
      </x:c>
      <x:c r="J10" s="32"/>
    </x:row>
    <x:row r="11">
      <x:c r="A11" s="23" t="str">
        <x:v>authorize-execution</x:v>
      </x:c>
      <x:c r="B11" s="23" t="str">
        <x:v>检查 preview 后授权 execute</x:v>
      </x:c>
      <x:c r="C11" s="48"/>
      <x:c r="D11" s="49"/>
      <x:c r="E11" s="47" t="str">
        <x:f>IF(OR(C11="",D11=""),"",(D11-C11)*1440)</x:f>
      </x:c>
      <x:c r="F11" s="30" t="str">
        <x:v>未开始</x:v>
      </x:c>
      <x:c r="G11" s="31" t="n">
        <x:v>0</x:v>
      </x:c>
      <x:c r="H11" s="31" t="n">
        <x:v>0</x:v>
      </x:c>
      <x:c r="I11" s="31" t="n">
        <x:v>0</x:v>
      </x:c>
      <x:c r="J11" s="32"/>
    </x:row>
    <x:row r="12">
      <x:c r="A12" s="23" t="str">
        <x:v>interpret-and-export</x:v>
      </x:c>
      <x:c r="B12" s="23" t="str">
        <x:v>解释工作人员报告并导出</x:v>
      </x:c>
      <x:c r="C12" s="50"/>
      <x:c r="D12" s="51"/>
      <x:c r="E12" s="47" t="str">
        <x:f>IF(OR(C12="",D12=""),"",(D12-C12)*1440)</x:f>
      </x:c>
      <x:c r="F12" s="33" t="str">
        <x:v>未开始</x:v>
      </x:c>
      <x:c r="G12" s="34" t="n">
        <x:v>0</x:v>
      </x:c>
      <x:c r="H12" s="34" t="n">
        <x:v>0</x:v>
      </x:c>
      <x:c r="I12" s="34" t="n">
        <x:v>0</x:v>
      </x:c>
      <x:c r="J12" s="35"/>
    </x:row>
  </x:sheetData>
  <x:mergeCells>
    <x:mergeCell ref="A1:J2"/>
    <x:mergeCell ref="A3:J3"/>
  </x:mergeCells>
  <x:conditionalFormatting sqref="F6:F12">
    <x:cfRule type="containsText" dxfId="0" priority="1" operator="containsText" text="完成"/>
    <x:cfRule type="containsText" dxfId="1" priority="2" operator="containsText" text="失败"/>
  </x:conditionalFormatting>
  <x:dataValidations count="2">
    <x:dataValidation type="list" sqref="F6:F12">
      <x:formula1>"未开始,完成,失败,跳过"</x:formula1>
    </x:dataValidation>
    <x:dataValidation type="whole" operator="between" sqref="G6:I12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2" customHeight="1">
      <x:c r="A1" s="22" t="str">
        <x:v>Preview / Execute 区分测试</x:v>
      </x:c>
      <x:c r="B1" s="22" t="str">
        <x:v>Preview / Execute 区分测试</x:v>
      </x:c>
      <x:c r="C1" s="22" t="str">
        <x:v>Preview / Execute 区分测试</x:v>
      </x:c>
      <x:c r="D1" s="22" t="str">
        <x:v>Preview / Execute 区分测试</x:v>
      </x:c>
      <x:c r="E1" s="22" t="str">
        <x:v>Preview / Execute 区分测试</x:v>
      </x:c>
    </x:row>
    <x:row r="2" ht="32" customHeight="1">
      <x:c r="A2" s="4" t="str">
        <x:v>Preview / Execute 区分测试</x:v>
      </x:c>
      <x:c r="B2" s="4" t="str">
        <x:v>Preview / Execute 区分测试</x:v>
      </x:c>
      <x:c r="C2" s="4" t="str">
        <x:v>Preview / Execute 区分测试</x:v>
      </x:c>
      <x:c r="D2" s="4" t="str">
        <x:v>Preview / Execute 区分测试</x:v>
      </x:c>
      <x:c r="E2" s="4" t="str">
        <x:v>Preview / Execute 区分测试</x:v>
      </x:c>
    </x:row>
    <x:row r="4">
      <x:c r="A4" s="10" t="str">
        <x:v>题号</x:v>
      </x:c>
      <x:c r="B4" s="11" t="str">
        <x:v>问题</x:v>
      </x:c>
      <x:c r="C4" s="11" t="str">
        <x:v>参与者答案</x:v>
      </x:c>
      <x:c r="D4" s="11" t="str">
        <x:v>正确答案</x:v>
      </x:c>
      <x:c r="E4" s="12" t="str">
        <x:v>正确（1/0）</x:v>
      </x:c>
    </x:row>
    <x:row r="5">
      <x:c r="A5" t="n">
        <x:v>1</x:v>
      </x:c>
      <x:c r="B5" t="str">
        <x:v>Preview 会执行清洗动作吗？</x:v>
      </x:c>
      <x:c r="C5" s="52"/>
      <x:c r="D5" t="str">
        <x:v>否</x:v>
      </x:c>
      <x:c r="E5" t="n">
        <x:f>IF(C5=D5,1,0)</x:f>
        <x:v>0</x:v>
      </x:c>
    </x:row>
    <x:row r="6">
      <x:c r="A6" t="n">
        <x:v>2</x:v>
      </x:c>
      <x:c r="B6" t="str">
        <x:v>Execute 前是否必须先验证并查看 preview？</x:v>
      </x:c>
      <x:c r="C6" s="53"/>
      <x:c r="D6" t="str">
        <x:v>是</x:v>
      </x:c>
      <x:c r="E6" t="n">
        <x:f>IF(C6=D6,1,0)</x:f>
        <x:v>0</x:v>
      </x:c>
    </x:row>
    <x:row r="7">
      <x:c r="A7" t="n">
        <x:v>3</x:v>
      </x:c>
      <x:c r="B7" t="str">
        <x:v>Preview 会写出 cleaned data 吗？</x:v>
      </x:c>
      <x:c r="C7" s="53"/>
      <x:c r="D7" t="str">
        <x:v>否</x:v>
      </x:c>
      <x:c r="E7" t="n">
        <x:f>IF(C7=D7,1,0)</x:f>
        <x:v>0</x:v>
      </x:c>
    </x:row>
    <x:row r="8">
      <x:c r="A8" t="n">
        <x:v>4</x:v>
      </x:c>
      <x:c r="B8" t="str">
        <x:v>DCC 可以覆盖原始数据文件吗？</x:v>
      </x:c>
      <x:c r="C8" s="54"/>
      <x:c r="D8" t="str">
        <x:v>否</x:v>
      </x:c>
      <x:c r="E8" t="n">
        <x:f>IF(C8=D8,1,0)</x:f>
        <x:v>0</x:v>
      </x:c>
    </x:row>
    <x:row r="10">
      <x:c r="A10" s="57" t="str">
        <x:v>区分正确率</x:v>
      </x:c>
      <x:c r="B10" s="57" t="str">
        <x:v>区分正确率</x:v>
      </x:c>
      <x:c r="C10" s="57" t="str">
        <x:v>区分正确率</x:v>
      </x:c>
      <x:c r="D10" s="57" t="str">
        <x:v>区分正确率</x:v>
      </x:c>
      <x:c r="E10" s="58" t="n">
        <x:f>AVERAGE(E5:E8)</x:f>
        <x:v>0</x:v>
      </x:c>
    </x:row>
  </x:sheetData>
  <x:mergeCells>
    <x:mergeCell ref="A1:E2"/>
    <x:mergeCell ref="A10:D10"/>
  </x:mergeCells>
  <x:dataValidations count="1">
    <x:dataValidation type="list" sqref="C5:C8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18" hidden="0" customWidth="1"/>
    <x:col min="4" max="4" width="18" hidden="0" customWidth="1"/>
  </x:cols>
  <x:sheetData>
    <x:row r="1" ht="32" customHeight="1">
      <x:c r="A1" s="22" t="str">
        <x:v>系统可用性量表（SUS）</x:v>
      </x:c>
      <x:c r="B1" s="22" t="str">
        <x:v>系统可用性量表（SUS）</x:v>
      </x:c>
      <x:c r="C1" s="22" t="str">
        <x:v>系统可用性量表（SUS）</x:v>
      </x:c>
      <x:c r="D1" s="22" t="str">
        <x:v>系统可用性量表（SUS）</x:v>
      </x:c>
    </x:row>
    <x:row r="2" ht="32" customHeight="1">
      <x:c r="A2" s="4" t="str">
        <x:v>系统可用性量表（SUS）</x:v>
      </x:c>
      <x:c r="B2" s="4" t="str">
        <x:v>系统可用性量表（SUS）</x:v>
      </x:c>
      <x:c r="C2" s="4" t="str">
        <x:v>系统可用性量表（SUS）</x:v>
      </x:c>
      <x:c r="D2" s="4" t="str">
        <x:v>系统可用性量表（SUS）</x:v>
      </x:c>
    </x:row>
    <x:row r="3">
      <x:c r="A3" s="5" t="str">
        <x:v>请按 1–5 评分：1=非常不同意，5=非常同意。必须填写全部 10 项。</x:v>
      </x:c>
      <x:c r="B3" s="5" t="str">
        <x:v>请按 1–5 评分：1=非常不同意，5=非常同意。必须填写全部 10 项。</x:v>
      </x:c>
      <x:c r="C3" s="5" t="str">
        <x:v>请按 1–5 评分：1=非常不同意，5=非常同意。必须填写全部 10 项。</x:v>
      </x:c>
      <x:c r="D3" s="5" t="str">
        <x:v>请按 1–5 评分：1=非常不同意，5=非常同意。必须填写全部 10 项。</x:v>
      </x:c>
    </x:row>
    <x:row r="5">
      <x:c r="A5" s="10" t="str">
        <x:v>题号</x:v>
      </x:c>
      <x:c r="B5" s="11" t="str">
        <x:v>陈述</x:v>
      </x:c>
      <x:c r="C5" s="11" t="str">
        <x:v>评分</x:v>
      </x:c>
      <x:c r="D5" s="12" t="str">
        <x:v>计分贡献</x:v>
      </x:c>
    </x:row>
    <x:row r="6">
      <x:c r="A6" t="n">
        <x:v>1</x:v>
      </x:c>
      <x:c r="B6" t="str">
        <x:v>我愿意经常使用这个系统。</x:v>
      </x:c>
      <x:c r="C6" s="52"/>
      <x:c r="D6" t="str">
        <x:f>IF(C6="","",C6-1)</x:f>
      </x:c>
    </x:row>
    <x:row r="7">
      <x:c r="A7" t="n">
        <x:v>2</x:v>
      </x:c>
      <x:c r="B7" t="str">
        <x:v>我觉得这个系统不必要地复杂。</x:v>
      </x:c>
      <x:c r="C7" s="53"/>
      <x:c r="D7" t="str">
        <x:f>IF(C7="","",5-C7)</x:f>
      </x:c>
    </x:row>
    <x:row r="8">
      <x:c r="A8" t="n">
        <x:v>3</x:v>
      </x:c>
      <x:c r="B8" t="str">
        <x:v>我觉得这个系统容易使用。</x:v>
      </x:c>
      <x:c r="C8" s="53"/>
      <x:c r="D8" t="str">
        <x:f>IF(C8="","",C8-1)</x:f>
      </x:c>
    </x:row>
    <x:row r="9">
      <x:c r="A9" t="n">
        <x:v>4</x:v>
      </x:c>
      <x:c r="B9" t="str">
        <x:v>我需要技术人员帮助才能使用这个系统。</x:v>
      </x:c>
      <x:c r="C9" s="53"/>
      <x:c r="D9" t="str">
        <x:f>IF(C9="","",5-C9)</x:f>
      </x:c>
    </x:row>
    <x:row r="10">
      <x:c r="A10" t="n">
        <x:v>5</x:v>
      </x:c>
      <x:c r="B10" t="str">
        <x:v>我觉得系统中的功能整合得很好。</x:v>
      </x:c>
      <x:c r="C10" s="53"/>
      <x:c r="D10" t="str">
        <x:f>IF(C10="","",C10-1)</x:f>
      </x:c>
    </x:row>
    <x:row r="11">
      <x:c r="A11" t="n">
        <x:v>6</x:v>
      </x:c>
      <x:c r="B11" t="str">
        <x:v>我觉得这个系统存在太多不一致。</x:v>
      </x:c>
      <x:c r="C11" s="53"/>
      <x:c r="D11" t="str">
        <x:f>IF(C11="","",5-C11)</x:f>
      </x:c>
    </x:row>
    <x:row r="12">
      <x:c r="A12" t="n">
        <x:v>7</x:v>
      </x:c>
      <x:c r="B12" t="str">
        <x:v>我认为大多数人能很快学会使用这个系统。</x:v>
      </x:c>
      <x:c r="C12" s="53"/>
      <x:c r="D12" t="str">
        <x:f>IF(C12="","",C12-1)</x:f>
      </x:c>
    </x:row>
    <x:row r="13">
      <x:c r="A13" t="n">
        <x:v>8</x:v>
      </x:c>
      <x:c r="B13" t="str">
        <x:v>我觉得这个系统使用起来很笨重。</x:v>
      </x:c>
      <x:c r="C13" s="53"/>
      <x:c r="D13" t="str">
        <x:f>IF(C13="","",5-C13)</x:f>
      </x:c>
    </x:row>
    <x:row r="14">
      <x:c r="A14" t="n">
        <x:v>9</x:v>
      </x:c>
      <x:c r="B14" t="str">
        <x:v>我使用这个系统时很有信心。</x:v>
      </x:c>
      <x:c r="C14" s="53"/>
      <x:c r="D14" t="str">
        <x:f>IF(C14="","",C14-1)</x:f>
      </x:c>
    </x:row>
    <x:row r="15">
      <x:c r="A15" t="n">
        <x:v>10</x:v>
      </x:c>
      <x:c r="B15" t="str">
        <x:v>在开始使用前，我需要学习很多东西。</x:v>
      </x:c>
      <x:c r="C15" s="54"/>
      <x:c r="D15" t="str">
        <x:f>IF(C15="","",5-C15)</x:f>
      </x:c>
    </x:row>
    <x:row r="17">
      <x:c r="A17" s="59" t="str">
        <x:v>SUS 总分（0–100）</x:v>
      </x:c>
      <x:c r="B17" s="60" t="str">
        <x:v>SUS 总分（0–100）</x:v>
      </x:c>
      <x:c r="C17" s="60" t="str">
        <x:v>SUS 总分（0–100）</x:v>
      </x:c>
      <x:c r="D17" s="62" t="str">
        <x:f>IF(COUNT(C6:C15)&lt;10,"",SUM(D6:D15)*2.5)</x:f>
      </x:c>
    </x:row>
  </x:sheetData>
  <x:mergeCells>
    <x:mergeCell ref="A1:D2"/>
    <x:mergeCell ref="A3:D3"/>
    <x:mergeCell ref="A17:C17"/>
  </x:mergeCells>
  <x:dataValidations count="1">
    <x:dataValidation type="whole" operator="between" sqref="C6:C15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真实人员证据签署</x:v>
      </x:c>
      <x:c r="B1" s="4" t="str">
        <x:v>真实人员证据签署</x:v>
      </x:c>
      <x:c r="C1" s="4" t="str">
        <x:v>真实人员证据签署</x:v>
      </x:c>
      <x:c r="D1" s="4" t="str">
        <x:v>真实人员证据签署</x:v>
      </x:c>
      <x:c r="E1" s="4" t="str">
        <x:v>真实人员证据签署</x:v>
      </x:c>
      <x:c r="F1" s="4" t="str">
        <x:v>真实人员证据签署</x:v>
      </x:c>
    </x:row>
    <x:row r="2" ht="32" customHeight="1">
      <x:c r="A2" s="4" t="str">
        <x:v>真实人员证据签署</x:v>
      </x:c>
      <x:c r="B2" s="4" t="str">
        <x:v>真实人员证据签署</x:v>
      </x:c>
      <x:c r="C2" s="4" t="str">
        <x:v>真实人员证据签署</x:v>
      </x:c>
      <x:c r="D2" s="4" t="str">
        <x:v>真实人员证据签署</x:v>
      </x:c>
      <x:c r="E2" s="4" t="str">
        <x:v>真实人员证据签署</x:v>
      </x:c>
      <x:c r="F2" s="4" t="str">
        <x:v>真实人员证据签署</x:v>
      </x:c>
    </x:row>
    <x:row r="4">
      <x:c r="A4" s="10" t="str">
        <x:v>字段</x:v>
      </x:c>
      <x:c r="B4" s="11" t="str">
        <x:v>要求</x:v>
      </x:c>
      <x:c r="C4" s="11" t="str">
        <x:v>填写值</x:v>
      </x:c>
      <x:c r="D4" s="11"/>
      <x:c r="E4" s="11"/>
      <x:c r="F4" s="12"/>
    </x:row>
    <x:row r="5">
      <x:c r="A5" t="str">
        <x:v>参与者签名/确认</x:v>
      </x:c>
      <x:c r="B5" t="str">
        <x:v>必填</x:v>
      </x:c>
      <x:c r="C5" s="14"/>
      <x:c r="D5" s="15"/>
      <x:c r="E5" s="15"/>
      <x:c r="F5" s="16"/>
    </x:row>
    <x:row r="6">
      <x:c r="A6" t="str">
        <x:v>主持人签名/确认</x:v>
      </x:c>
      <x:c r="B6" t="str">
        <x:v>必填</x:v>
      </x:c>
      <x:c r="C6" s="17"/>
      <x:c r="D6" s="13"/>
      <x:c r="E6" s="13"/>
      <x:c r="F6" s="18"/>
    </x:row>
    <x:row r="7">
      <x:c r="A7" t="str">
        <x:v>签署日期</x:v>
      </x:c>
      <x:c r="B7" t="str">
        <x:v>必填</x:v>
      </x:c>
      <x:c r="C7" s="17"/>
      <x:c r="D7" s="13"/>
      <x:c r="E7" s="13"/>
      <x:c r="F7" s="18"/>
    </x:row>
    <x:row r="8">
      <x:c r="A8" t="str">
        <x:v>同意使用匿名验收记录</x:v>
      </x:c>
      <x:c r="B8" t="str">
        <x:v>是/否</x:v>
      </x:c>
      <x:c r="C8" s="17"/>
      <x:c r="D8" s="13"/>
      <x:c r="E8" s="13"/>
      <x:c r="F8" s="18"/>
    </x:row>
    <x:row r="9">
      <x:c r="A9" t="str">
        <x:v>确认未修改 R 代码</x:v>
      </x:c>
      <x:c r="B9" t="str">
        <x:v>是/否</x:v>
      </x:c>
      <x:c r="C9" s="17"/>
      <x:c r="D9" s="13"/>
      <x:c r="E9" s="13"/>
      <x:c r="F9" s="18"/>
    </x:row>
    <x:row r="10">
      <x:c r="A10" t="str">
        <x:v>确认未覆盖原始文件</x:v>
      </x:c>
      <x:c r="B10" t="str">
        <x:v>是/否</x:v>
      </x:c>
      <x:c r="C10" s="19"/>
      <x:c r="D10" s="20"/>
      <x:c r="E10" s="20"/>
      <x:c r="F10" s="21"/>
    </x:row>
    <x:row r="12">
      <x:c r="A12" s="65" t="str">
        <x:v>注意：自动生成工作簿、主持人代填、缺少参与者确认，均不能作为真实工作人员可用性通过证据。</x:v>
      </x:c>
      <x:c r="B12" s="65" t="str">
        <x:v>注意：自动生成工作簿、主持人代填、缺少参与者确认，均不能作为真实工作人员可用性通过证据。</x:v>
      </x:c>
      <x:c r="C12" s="65" t="str">
        <x:v>注意：自动生成工作簿、主持人代填、缺少参与者确认，均不能作为真实工作人员可用性通过证据。</x:v>
      </x:c>
      <x:c r="D12" s="65" t="str">
        <x:v>注意：自动生成工作簿、主持人代填、缺少参与者确认，均不能作为真实工作人员可用性通过证据。</x:v>
      </x:c>
      <x:c r="E12" s="65" t="str">
        <x:v>注意：自动生成工作簿、主持人代填、缺少参与者确认，均不能作为真实工作人员可用性通过证据。</x:v>
      </x:c>
      <x:c r="F12" s="65" t="str">
        <x:v>注意：自动生成工作簿、主持人代填、缺少参与者确认，均不能作为真实工作人员可用性通过证据。</x:v>
      </x:c>
    </x:row>
    <x:row r="13">
      <x:c r="A13" s="65" t="str">
        <x:v>注意：自动生成工作簿、主持人代填、缺少参与者确认，均不能作为真实工作人员可用性通过证据。</x:v>
      </x:c>
      <x:c r="B13" s="65" t="str">
        <x:v>注意：自动生成工作簿、主持人代填、缺少参与者确认，均不能作为真实工作人员可用性通过证据。</x:v>
      </x:c>
      <x:c r="C13" s="65" t="str">
        <x:v>注意：自动生成工作簿、主持人代填、缺少参与者确认，均不能作为真实工作人员可用性通过证据。</x:v>
      </x:c>
      <x:c r="D13" s="65" t="str">
        <x:v>注意：自动生成工作簿、主持人代填、缺少参与者确认，均不能作为真实工作人员可用性通过证据。</x:v>
      </x:c>
      <x:c r="E13" s="65" t="str">
        <x:v>注意：自动生成工作簿、主持人代填、缺少参与者确认，均不能作为真实工作人员可用性通过证据。</x:v>
      </x:c>
      <x:c r="F13" s="65" t="str">
        <x:v>注意：自动生成工作簿、主持人代填、缺少参与者确认，均不能作为真实工作人员可用性通过证据。</x:v>
      </x:c>
    </x:row>
    <x:row r="14">
      <x:c r="A14" s="65" t="str">
        <x:v>注意：自动生成工作簿、主持人代填、缺少参与者确认，均不能作为真实工作人员可用性通过证据。</x:v>
      </x:c>
      <x:c r="B14" s="65" t="str">
        <x:v>注意：自动生成工作簿、主持人代填、缺少参与者确认，均不能作为真实工作人员可用性通过证据。</x:v>
      </x:c>
      <x:c r="C14" s="65" t="str">
        <x:v>注意：自动生成工作簿、主持人代填、缺少参与者确认，均不能作为真实工作人员可用性通过证据。</x:v>
      </x:c>
      <x:c r="D14" s="65" t="str">
        <x:v>注意：自动生成工作簿、主持人代填、缺少参与者确认，均不能作为真实工作人员可用性通过证据。</x:v>
      </x:c>
      <x:c r="E14" s="65" t="str">
        <x:v>注意：自动生成工作簿、主持人代填、缺少参与者确认，均不能作为真实工作人员可用性通过证据。</x:v>
      </x:c>
      <x:c r="F14" s="65" t="str">
        <x:v>注意：自动生成工作簿、主持人代填、缺少参与者确认，均不能作为真实工作人员可用性通过证据。</x:v>
      </x:c>
    </x:row>
  </x:sheetData>
  <x:mergeCells>
    <x:mergeCell ref="A1:F2"/>
    <x:mergeCell ref="C5:F5"/>
    <x:mergeCell ref="C6:F6"/>
    <x:mergeCell ref="C7:F7"/>
    <x:mergeCell ref="C8:F8"/>
    <x:mergeCell ref="C9:F9"/>
    <x:mergeCell ref="C10:F10"/>
    <x:mergeCell ref="A12:F14"/>
  </x:mergeCells>
  <x:dataValidations count="1">
    <x:dataValidation type="list" sqref="C8:C10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4" t="str">
        <x:v>单名参与者评分摘要</x:v>
      </x:c>
      <x:c r="B1" s="4" t="str">
        <x:v>单名参与者评分摘要</x:v>
      </x:c>
      <x:c r="C1" s="4" t="str">
        <x:v>单名参与者评分摘要</x:v>
      </x:c>
      <x:c r="D1" s="4" t="str">
        <x:v>单名参与者评分摘要</x:v>
      </x:c>
    </x:row>
    <x:row r="2" ht="32" customHeight="1">
      <x:c r="A2" s="4" t="str">
        <x:v>单名参与者评分摘要</x:v>
      </x:c>
      <x:c r="B2" s="4" t="str">
        <x:v>单名参与者评分摘要</x:v>
      </x:c>
      <x:c r="C2" s="4" t="str">
        <x:v>单名参与者评分摘要</x:v>
      </x:c>
      <x:c r="D2" s="4" t="str">
        <x:v>单名参与者评分摘要</x:v>
      </x:c>
    </x:row>
    <x:row r="4">
      <x:c r="A4" s="10" t="str">
        <x:v>指标</x:v>
      </x:c>
      <x:c r="B4" s="11" t="str">
        <x:v>结果</x:v>
      </x:c>
      <x:c r="C4" s="11" t="str">
        <x:v>个人目标</x:v>
      </x:c>
      <x:c r="D4" s="12" t="str">
        <x:v>状态</x:v>
      </x:c>
    </x:row>
    <x:row r="5">
      <x:c r="A5" t="str">
        <x:v>完成场景数</x:v>
      </x:c>
      <x:c r="B5" t="n">
        <x:f>COUNTIF('场景记录'!$F$6:$F$12,"完成")</x:f>
        <x:v>0</x:v>
      </x:c>
      <x:c r="C5" t="n">
        <x:v>7</x:v>
      </x:c>
      <x:c r="D5" t="str">
        <x:f>IF(B5&gt;=C5,"达到","未达到")</x:f>
        <x:v>未达到</x:v>
      </x:c>
    </x:row>
    <x:row r="6">
      <x:c r="A6" t="str">
        <x:v>总用时（分钟）</x:v>
      </x:c>
      <x:c r="B6" s="37" t="n">
        <x:f>SUM('场景记录'!$E$6:$E$12)</x:f>
        <x:v>0</x:v>
      </x:c>
      <x:c r="C6" t="n">
        <x:v>30</x:v>
      </x:c>
      <x:c r="D6" t="str">
        <x:f>IF(B6&lt;=C6,"达到","未达到")</x:f>
        <x:v>达到</x:v>
      </x:c>
    </x:row>
    <x:row r="7">
      <x:c r="A7" t="str">
        <x:v>区分正确率</x:v>
      </x:c>
      <x:c r="B7" s="37" t="n">
        <x:f>'区分测试'!$E$10</x:f>
        <x:v>0</x:v>
      </x:c>
      <x:c r="C7" s="55" t="n">
        <x:v>0.8</x:v>
      </x:c>
      <x:c r="D7" t="str">
        <x:f>IF(B7&gt;=C7,"达到","未达到")</x:f>
        <x:v>未达到</x:v>
      </x:c>
    </x:row>
    <x:row r="8">
      <x:c r="A8" t="str">
        <x:v>SUS 总分</x:v>
      </x:c>
      <x:c r="B8" s="37" t="n">
        <x:f>'SUS问卷'!$D$17</x:f>
        <x:v>0</x:v>
      </x:c>
      <x:c r="C8" t="n">
        <x:v>75</x:v>
      </x:c>
      <x:c r="D8" t="str">
        <x:f>IF(B8&gt;=C8,"达到","未达到")</x:f>
        <x:v>未达到</x:v>
      </x:c>
    </x:row>
    <x:row r="9">
      <x:c r="A9" t="str">
        <x:v>代码编辑次数</x:v>
      </x:c>
      <x:c r="B9" t="n">
        <x:f>SUM('场景记录'!$H$6:$H$12)</x:f>
        <x:v>0</x:v>
      </x:c>
      <x:c r="C9" t="n">
        <x:v>0</x:v>
      </x:c>
      <x:c r="D9" t="str">
        <x:f>IF(B9=C9,"达到","未达到")</x:f>
        <x:v>达到</x:v>
      </x:c>
    </x:row>
    <x:row r="10">
      <x:c r="A10" t="str">
        <x:v>原始文件覆盖次数</x:v>
      </x:c>
      <x:c r="B10" t="n">
        <x:f>SUM('场景记录'!$I$6:$I$12)</x:f>
        <x:v>0</x:v>
      </x:c>
      <x:c r="C10" t="n">
        <x:v>0</x:v>
      </x:c>
      <x:c r="D10" t="str">
        <x:f>IF(B10=C10,"达到","未达到")</x:f>
        <x:v>达到</x:v>
      </x:c>
    </x:row>
    <x:row r="11">
      <x:c r="A11" t="str">
        <x:v>原始文件哈希一致</x:v>
      </x:c>
      <x:c r="B11" t="n">
        <x:f>IF(AND('说明'!$C$16&lt;&gt;"",'说明'!$C$16='说明'!$C$17),1,0)</x:f>
        <x:v>0</x:v>
      </x:c>
      <x:c r="C11" t="n">
        <x:v>1</x:v>
      </x:c>
      <x:c r="D11" t="str">
        <x:f>IF(B11=C11,"达到","未达到")</x:f>
        <x:v>未达到</x:v>
      </x:c>
    </x:row>
    <x:row r="12">
      <x:c r="A12" t="str">
        <x:v>签署完整</x:v>
      </x:c>
      <x:c r="B12" t="n">
        <x:f>IF(AND('签署'!$C$5&lt;&gt;"",'签署'!$C$6&lt;&gt;"",'签署'!$C$8="是",'签署'!$C$9="是",'签署'!$C$10="是"),1,0)</x:f>
        <x:v>0</x:v>
      </x:c>
      <x:c r="C12" t="n">
        <x:v>1</x:v>
      </x:c>
      <x:c r="D12" t="str">
        <x:f>IF(B12=C12,"达到","未达到")</x:f>
        <x:v>未达到</x:v>
      </x:c>
    </x:row>
    <x:row r="13">
      <x:c r="A13" s="66" t="str">
        <x:v>证据有效性</x:v>
      </x:c>
      <x:c r="B13" s="67" t="str">
        <x:f>IF(AND(B5=7,B6&lt;=30,B7&gt;=80%,B8&gt;=75,B9=0,B10=0,B11=1,B12=1),"有效","无效")</x:f>
        <x:v>无效</x:v>
      </x:c>
      <x:c r="C13" s="67"/>
      <x:c r="D13" s="68"/>
    </x:row>
    <x:row r="15">
      <x:c r="A15" s="6" t="str">
        <x:v>本页只判断单名参与者记录是否有效。项目级通过还需至少 5 名目标用户，计算总体完成率、preview/execute 区分率和 SUS 中位数，并由独立发布证据验证器核验。</x:v>
      </x:c>
      <x:c r="B15" s="6" t="str">
        <x:v>本页只判断单名参与者记录是否有效。项目级通过还需至少 5 名目标用户，计算总体完成率、preview/execute 区分率和 SUS 中位数，并由独立发布证据验证器核验。</x:v>
      </x:c>
      <x:c r="C15" s="6" t="str">
        <x:v>本页只判断单名参与者记录是否有效。项目级通过还需至少 5 名目标用户，计算总体完成率、preview/execute 区分率和 SUS 中位数，并由独立发布证据验证器核验。</x:v>
      </x:c>
      <x:c r="D15" s="6" t="str">
        <x:v>本页只判断单名参与者记录是否有效。项目级通过还需至少 5 名目标用户，计算总体完成率、preview/execute 区分率和 SUS 中位数，并由独立发布证据验证器核验。</x:v>
      </x:c>
    </x:row>
    <x:row r="16">
      <x:c r="A16" s="6" t="str">
        <x:v>本页只判断单名参与者记录是否有效。项目级通过还需至少 5 名目标用户，计算总体完成率、preview/execute 区分率和 SUS 中位数，并由独立发布证据验证器核验。</x:v>
      </x:c>
      <x:c r="B16" s="6" t="str">
        <x:v>本页只判断单名参与者记录是否有效。项目级通过还需至少 5 名目标用户，计算总体完成率、preview/execute 区分率和 SUS 中位数，并由独立发布证据验证器核验。</x:v>
      </x:c>
      <x:c r="C16" s="6" t="str">
        <x:v>本页只判断单名参与者记录是否有效。项目级通过还需至少 5 名目标用户，计算总体完成率、preview/execute 区分率和 SUS 中位数，并由独立发布证据验证器核验。</x:v>
      </x:c>
      <x:c r="D16" s="6" t="str">
        <x:v>本页只判断单名参与者记录是否有效。项目级通过还需至少 5 名目标用户，计算总体完成率、preview/execute 区分率和 SUS 中位数，并由独立发布证据验证器核验。</x:v>
      </x:c>
    </x:row>
    <x:row r="17">
      <x:c r="A17" s="6" t="str">
        <x:v>本页只判断单名参与者记录是否有效。项目级通过还需至少 5 名目标用户，计算总体完成率、preview/execute 区分率和 SUS 中位数，并由独立发布证据验证器核验。</x:v>
      </x:c>
      <x:c r="B17" s="6" t="str">
        <x:v>本页只判断单名参与者记录是否有效。项目级通过还需至少 5 名目标用户，计算总体完成率、preview/execute 区分率和 SUS 中位数，并由独立发布证据验证器核验。</x:v>
      </x:c>
      <x:c r="C17" s="6" t="str">
        <x:v>本页只判断单名参与者记录是否有效。项目级通过还需至少 5 名目标用户，计算总体完成率、preview/execute 区分率和 SUS 中位数，并由独立发布证据验证器核验。</x:v>
      </x:c>
      <x:c r="D17" s="6" t="str">
        <x:v>本页只判断单名参与者记录是否有效。项目级通过还需至少 5 名目标用户，计算总体完成率、preview/execute 区分率和 SUS 中位数，并由独立发布证据验证器核验。</x:v>
      </x:c>
    </x:row>
    <x:row r="18">
      <x:c r="A18" s="6" t="str">
        <x:v>本页只判断单名参与者记录是否有效。项目级通过还需至少 5 名目标用户，计算总体完成率、preview/execute 区分率和 SUS 中位数，并由独立发布证据验证器核验。</x:v>
      </x:c>
      <x:c r="B18" s="6" t="str">
        <x:v>本页只判断单名参与者记录是否有效。项目级通过还需至少 5 名目标用户，计算总体完成率、preview/execute 区分率和 SUS 中位数，并由独立发布证据验证器核验。</x:v>
      </x:c>
      <x:c r="C18" s="6" t="str">
        <x:v>本页只判断单名参与者记录是否有效。项目级通过还需至少 5 名目标用户，计算总体完成率、preview/execute 区分率和 SUS 中位数，并由独立发布证据验证器核验。</x:v>
      </x:c>
      <x:c r="D18" s="6" t="str">
        <x:v>本页只判断单名参与者记录是否有效。项目级通过还需至少 5 名目标用户，计算总体完成率、preview/execute 区分率和 SUS 中位数，并由独立发布证据验证器核验。</x:v>
      </x:c>
    </x:row>
  </x:sheetData>
  <x:mergeCells>
    <x:mergeCell ref="A1:D2"/>
    <x:mergeCell ref="A15:D18"/>
  </x:mergeCells>
  <x:conditionalFormatting sqref="D5:D12">
    <x:cfRule type="expression" dxfId="2" priority="1">
      <x:formula>$D5="达到"</x:formula>
    </x:cfRule>
    <x:cfRule type="expression" dxfId="3" priority="2">
      <x:formula>$D5="未达到"</x:formula>
    </x:cfRule>
  </x:conditionalFormatting>
  <x:pageMargins left="0.7" right="0.7" top="0.75" bottom="0.75" header="0.3" footer="0.3"/>
</x:worksheet>
</file>